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Dashboard" sheetId="2" state="visible" r:id="rId2"/>
    <sheet name="Visitor" sheetId="3" state="visible" r:id="rId3"/>
    <sheet name="Outreach" sheetId="4" state="visible" r:id="rId4"/>
    <sheet name="Reports — Weekly" sheetId="5" state="visible" r:id="rId5"/>
    <sheet name="Reports — Monthly" sheetId="6" state="visible" r:id="rId6"/>
    <sheet name="_Helpers" sheetId="7" state="hidden" r:id="rId7"/>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1"/>
    </font>
    <font>
      <b val="1"/>
      <color rgb="00024C4F"/>
    </font>
    <font>
      <name val="Calibri"/>
      <i val="1"/>
      <color rgb="00707070"/>
      <sz val="10"/>
    </font>
    <font>
      <name val="Calibri"/>
      <b val="1"/>
      <color rgb="00024C4F"/>
      <sz val="20"/>
    </font>
    <font>
      <name val="Calibri"/>
      <b val="1"/>
      <color rgb="00FFFFFF"/>
      <sz val="12"/>
    </font>
    <font>
      <name val="Calibri"/>
      <b val="1"/>
      <color rgb="00707070"/>
      <sz val="9"/>
    </font>
    <font>
      <name val="Calibri"/>
      <b val="1"/>
      <color rgb="00024C4F"/>
      <sz val="22"/>
    </font>
    <font>
      <name val="Calibri"/>
      <b val="1"/>
      <color rgb="00242424"/>
      <sz val="11"/>
    </font>
    <font>
      <name val="Calibri"/>
      <b val="1"/>
      <color rgb="00242424"/>
      <sz val="12"/>
    </font>
    <font>
      <name val="Calibri"/>
      <color rgb="00242424"/>
      <sz val="11"/>
    </font>
    <font>
      <name val="Calibri"/>
      <b val="1"/>
      <color rgb="00036C70"/>
      <sz val="13"/>
    </font>
    <font>
      <name val="Calibri"/>
      <b val="1"/>
      <color rgb="00024C4F"/>
      <sz val="18"/>
    </font>
  </fonts>
  <fills count="4">
    <fill>
      <patternFill/>
    </fill>
    <fill>
      <patternFill patternType="gray125"/>
    </fill>
    <fill>
      <patternFill patternType="solid">
        <fgColor rgb="00036C70"/>
      </patternFill>
    </fill>
    <fill>
      <patternFill patternType="solid">
        <fgColor rgb="00F7FAFA"/>
      </patternFill>
    </fill>
  </fills>
  <borders count="4">
    <border>
      <left/>
      <right/>
      <top/>
      <bottom/>
      <diagonal/>
    </border>
    <border>
      <left style="thin">
        <color rgb="00D1D1D1"/>
      </left>
      <right style="thin">
        <color rgb="00D1D1D1"/>
      </right>
      <top style="thin">
        <color rgb="00D1D1D1"/>
      </top>
      <bottom style="thin">
        <color rgb="00D1D1D1"/>
      </bottom>
    </border>
    <border>
      <top style="medium">
        <color rgb="00036C70"/>
      </top>
    </border>
    <border>
      <left/>
      <right/>
      <top style="medium">
        <color rgb="00036C70"/>
      </top>
      <bottom/>
      <diagonal/>
    </border>
  </borders>
  <cellStyleXfs count="1">
    <xf numFmtId="0" fontId="0" fillId="0" borderId="0"/>
  </cellStyleXfs>
  <cellXfs count="21">
    <xf numFmtId="0" fontId="0"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4" fillId="0" borderId="0" pivotButton="0" quotePrefix="0" xfId="0"/>
    <xf numFmtId="0" fontId="3" fillId="0" borderId="0" pivotButton="0" quotePrefix="0" xfId="0"/>
    <xf numFmtId="0" fontId="5" fillId="2" borderId="0" applyAlignment="1" pivotButton="0" quotePrefix="0" xfId="0">
      <alignment horizontal="left" vertical="center" indent="1"/>
    </xf>
    <xf numFmtId="0" fontId="6" fillId="3" borderId="2" applyAlignment="1" pivotButton="0" quotePrefix="0" xfId="0">
      <alignment horizontal="left" vertical="center" indent="1"/>
    </xf>
    <xf numFmtId="0" fontId="0" fillId="0" borderId="3" pivotButton="0" quotePrefix="0" xfId="0"/>
    <xf numFmtId="0" fontId="7" fillId="3" borderId="0" applyAlignment="1" pivotButton="0" quotePrefix="0" xfId="0">
      <alignment horizontal="left" vertical="center" indent="1"/>
    </xf>
    <xf numFmtId="0" fontId="3" fillId="3" borderId="0" applyAlignment="1" pivotButton="0" quotePrefix="0" xfId="0">
      <alignment horizontal="left" vertical="top" indent="1"/>
    </xf>
    <xf numFmtId="0" fontId="1" fillId="2" borderId="0" applyAlignment="1" pivotButton="0" quotePrefix="0" xfId="0">
      <alignment horizontal="center" vertical="center"/>
    </xf>
    <xf numFmtId="0" fontId="8" fillId="3" borderId="0" applyAlignment="1" pivotButton="0" quotePrefix="0" xfId="0">
      <alignment horizontal="left" vertical="center" indent="1"/>
    </xf>
    <xf numFmtId="0" fontId="9" fillId="0" borderId="1" applyAlignment="1" pivotButton="0" quotePrefix="0" xfId="0">
      <alignment horizontal="center" vertical="center"/>
    </xf>
    <xf numFmtId="0" fontId="10" fillId="0" borderId="0" pivotButton="0" quotePrefix="0" xfId="0"/>
    <xf numFmtId="0" fontId="3" fillId="0" borderId="0" applyAlignment="1" pivotButton="0" quotePrefix="0" xfId="0">
      <alignment vertical="top" wrapText="1"/>
    </xf>
    <xf numFmtId="0" fontId="1" fillId="2" borderId="1" applyAlignment="1" pivotButton="0" quotePrefix="0" xfId="0">
      <alignment horizontal="left" vertical="center"/>
    </xf>
    <xf numFmtId="0" fontId="12" fillId="0" borderId="0" pivotButton="0" quotePrefix="0" xfId="0"/>
    <xf numFmtId="0" fontId="2"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2"/>
  <chart>
    <plotArea>
      <barChart>
        <barDir val="bar"/>
        <grouping val="clustered"/>
        <ser>
          <idx val="0"/>
          <order val="0"/>
          <tx>
            <strRef>
              <f>'_Helpers'!H3</f>
            </strRef>
          </tx>
          <spPr>
            <a:ln>
              <a:prstDash val="solid"/>
            </a:ln>
          </spPr>
          <cat>
            <numRef>
              <f>'_Helpers'!$G$4:$G$27</f>
            </numRef>
          </cat>
          <val>
            <numRef>
              <f>'_Helpers'!$H$4:$H$27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plotArea>
      <barChart>
        <barDir val="bar"/>
        <grouping val="clustered"/>
        <ser>
          <idx val="0"/>
          <order val="0"/>
          <tx>
            <strRef>
              <f>'_Helpers'!K3</f>
            </strRef>
          </tx>
          <spPr>
            <a:ln>
              <a:prstDash val="solid"/>
            </a:ln>
          </spPr>
          <cat>
            <numRef>
              <f>'_Helpers'!$J$4:$J$13</f>
            </numRef>
          </cat>
          <val>
            <numRef>
              <f>'_Helpers'!$K$4:$K$13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plotArea>
      <barChart>
        <barDir val="col"/>
        <grouping val="clustered"/>
        <ser>
          <idx val="0"/>
          <order val="0"/>
          <tx>
            <strRef>
              <f>'_Helpers'!N3</f>
            </strRef>
          </tx>
          <spPr>
            <a:ln>
              <a:prstDash val="solid"/>
            </a:ln>
          </spPr>
          <cat>
            <numRef>
              <f>'_Helpers'!$M$4:$M$7</f>
            </numRef>
          </cat>
          <val>
            <numRef>
              <f>'_Helpers'!$N$4:$N$7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31</row>
      <rowOff>0</rowOff>
    </from>
    <ext cx="648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47</row>
      <rowOff>0</rowOff>
    </from>
    <ext cx="6480000" cy="288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tblVisitor" displayName="tblVisitor" ref="A1:AF2" headerRowCount="1">
  <autoFilter ref="A1:AF2"/>
  <tableColumns count="32">
    <tableColumn id="1" name="Submission ID"/>
    <tableColumn id="2" name="Submitted at"/>
    <tableColumn id="3" name="Name"/>
    <tableColumn id="4" name="Email"/>
    <tableColumn id="5" name="Campus"/>
    <tableColumn id="6" name="Time block"/>
    <tableColumn id="7" name="How many helped"/>
    <tableColumn id="8" name="Wayfinding – General"/>
    <tableColumn id="9" name="OneCard"/>
    <tableColumn id="10" name="IT Support"/>
    <tableColumn id="11" name="Bus Pass / Transportation"/>
    <tableColumn id="12" name="Parking"/>
    <tableColumn id="13" name="Timetable / Registration Concern"/>
    <tableColumn id="14" name="Student Fees / Student Financial Services"/>
    <tableColumn id="15" name="Learning Services / Math Help / Tutors"/>
    <tableColumn id="16" name="Want to Change Program"/>
    <tableColumn id="17" name="Connect with Faculty / Program Coordinator / Chair"/>
    <tableColumn id="18" name="Health Insurance"/>
    <tableColumn id="19" name="Mental Health Support / Counselling"/>
    <tableColumn id="20" name="Medical Clinic / Medical Care"/>
    <tableColumn id="21" name="Housing / Accommodation"/>
    <tableColumn id="22" name="Job Search / Career Services"/>
    <tableColumn id="23" name="Immigration / International Student Advising Referral"/>
    <tableColumn id="24" name="International Transition Services"/>
    <tableColumn id="25" name="International Admissions – Second Program"/>
    <tableColumn id="26" name="Library – Tech Loans / TeachMeTech"/>
    <tableColumn id="27" name="Library – Research / Writing Consultants"/>
    <tableColumn id="28" name="Library – Academic Integrity"/>
    <tableColumn id="29" name="CSI – Frosh Kits"/>
    <tableColumn id="30" name="CSI – Peer Advocates"/>
    <tableColumn id="31" name="Others"/>
    <tableColumn id="32" name="Others (Inquiry)"/>
  </tableColumns>
  <tableStyleInfo name="TableStyleMedium2" showFirstColumn="0" showLastColumn="0" showRowStripes="1" showColumnStripes="0"/>
</table>
</file>

<file path=xl/tables/table2.xml><?xml version="1.0" encoding="utf-8"?>
<table xmlns="http://schemas.openxmlformats.org/spreadsheetml/2006/main" id="2" name="tblOutreach" displayName="tblOutreach" ref="A1:J2" headerRowCount="1">
  <autoFilter ref="A1:J2"/>
  <tableColumns count="10">
    <tableColumn id="1" name="Submission ID"/>
    <tableColumn id="2" name="Submitted at"/>
    <tableColumn id="3" name="Name"/>
    <tableColumn id="4" name="Email"/>
    <tableColumn id="5" name="Campus"/>
    <tableColumn id="6" name="Date of activity"/>
    <tableColumn id="7" name="How many helped"/>
    <tableColumn id="8" name="Outreach Activity"/>
    <tableColumn id="9" name="Other activity (text)"/>
    <tableColumn id="1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B1:B35"/>
  <sheetViews>
    <sheetView showGridLines="0" workbookViewId="0">
      <selection activeCell="A1" sqref="A1"/>
    </sheetView>
  </sheetViews>
  <sheetFormatPr baseColWidth="8" defaultRowHeight="15"/>
  <cols>
    <col width="4" customWidth="1" min="1" max="1"/>
    <col width="100" customWidth="1" min="2" max="2"/>
  </cols>
  <sheetData>
    <row r="1" ht="32" customHeight="1">
      <c r="B1" s="1" t="inlineStr">
        <is>
          <t>How to use this workbook</t>
        </is>
      </c>
    </row>
    <row r="2">
      <c r="B2" s="2" t="inlineStr"/>
    </row>
    <row r="3" ht="52" customHeight="1">
      <c r="B3" s="3" t="inlineStr">
        <is>
          <t>This is the Option A+ starter — it's pre-built with the data tables, KPI tiles, heatmap, and three charts. You need to do two things to make it live: connect Power Query to your Forms response files, and (optionally) add slicers / a timeline for interactive filtering.</t>
        </is>
      </c>
    </row>
    <row r="4">
      <c r="B4" s="2" t="inlineStr"/>
    </row>
    <row r="5" ht="22" customHeight="1">
      <c r="B5" s="4" t="inlineStr">
        <is>
          <t>Sheet by sheet</t>
        </is>
      </c>
    </row>
    <row r="6" ht="40" customHeight="1">
      <c r="B6" s="3" t="inlineStr">
        <is>
          <t>• Dashboard — Shannon's main view. KPI tiles, Campus × Time block heatmap, top categories chart, outreach themes chart, outreach by campus chart. All sourced from formulas — no pivots needed.</t>
        </is>
      </c>
    </row>
    <row r="7" ht="28" customHeight="1">
      <c r="B7" s="3" t="inlineStr">
        <is>
          <t>• Visitor — empty data table with all 32 columns matching the Forms export. Power Query will load Forms responses here.</t>
        </is>
      </c>
    </row>
    <row r="8" ht="20" customHeight="1">
      <c r="B8" s="3" t="inlineStr">
        <is>
          <t>• Outreach — empty data table with 10 columns. Same as above, for outreach.</t>
        </is>
      </c>
    </row>
    <row r="9" ht="28" customHeight="1">
      <c r="B9" s="3" t="inlineStr">
        <is>
          <t>• _Helpers — hidden sheet with the small helper tables that drive the charts. Don't delete.</t>
        </is>
      </c>
    </row>
    <row r="10">
      <c r="B10" s="2" t="inlineStr"/>
    </row>
    <row r="11" ht="22" customHeight="1">
      <c r="B11" s="4" t="inlineStr">
        <is>
          <t>Step 1 — Connect Power Query (one-time, ~10 min)</t>
        </is>
      </c>
    </row>
    <row r="12" ht="40" customHeight="1">
      <c r="B12" s="3" t="inlineStr">
        <is>
          <t>Open each form in forms.office.com → Responses → Open in Excel. Microsoft creates an auto-syncing workbook in your OneDrive. Save those files in OneDrive/Student Engagement/Live Data/.</t>
        </is>
      </c>
    </row>
    <row r="13" ht="52" customHeight="1">
      <c r="B13" s="3" t="inlineStr">
        <is>
          <t>Then in this workbook: Data → Get Data → From File → From Workbook → pick the Visitor responses file → Sheet1 → Transform Data. Replace nulls with 0 in the 24 category columns. Close &amp; Load To... → Existing worksheet → cell A1 of the Visitor sheet.</t>
        </is>
      </c>
    </row>
    <row r="14" ht="20" customHeight="1">
      <c r="B14" s="3" t="inlineStr">
        <is>
          <t>Repeat for the Outreach responses file → load into the Outreach sheet.</t>
        </is>
      </c>
    </row>
    <row r="15" ht="28" customHeight="1">
      <c r="B15" s="3" t="inlineStr">
        <is>
          <t>Data → Queries &amp; Connections → right-click each query → Properties → tick 'Refresh data when opening the file' AND 'Refresh every 5 minutes'.</t>
        </is>
      </c>
    </row>
    <row r="16" ht="20" customHeight="1">
      <c r="B16" s="3" t="inlineStr">
        <is>
          <t>That's it. The dashboard now updates within a minute of every new submission.</t>
        </is>
      </c>
    </row>
    <row r="17">
      <c r="B17" s="2" t="inlineStr"/>
    </row>
    <row r="18" ht="22" customHeight="1">
      <c r="B18" s="4" t="inlineStr">
        <is>
          <t>Step 2 — Optional polish</t>
        </is>
      </c>
    </row>
    <row r="19" ht="52" customHeight="1">
      <c r="B19" s="3" t="inlineStr">
        <is>
          <t>Add slicers and a timeline for interactive filtering: Insert a PivotTable on tblVisitor (any pivot, even a hidden one), then Insert → Slicer (tick Campus, Time block) and Insert → Timeline (tick Submitted at). Connect the slicers to all charts via Slicer → Report Connections. The dashboard becomes click-to-filter.</t>
        </is>
      </c>
    </row>
    <row r="20" ht="40" customHeight="1">
      <c r="B20" s="3" t="inlineStr">
        <is>
          <t>Add a daily trend line chart: Insert PivotChart on tblVisitor → Date axis = Submitted at (grouped by days), value = Sum of How many helped. Drop the chart on the Dashboard sheet.</t>
        </is>
      </c>
    </row>
    <row r="21" ht="28" customHeight="1">
      <c r="B21" s="3" t="inlineStr">
        <is>
          <t>Add a section-mix stacked bar: same idea, with Campus on the row axis and a custom Section-bucket column on the column axis.</t>
        </is>
      </c>
    </row>
    <row r="22">
      <c r="B22" s="2" t="inlineStr"/>
    </row>
    <row r="23" ht="22" customHeight="1">
      <c r="B23" s="4" t="inlineStr">
        <is>
          <t>Daily refresh</t>
        </is>
      </c>
    </row>
    <row r="24" ht="20" customHeight="1">
      <c r="B24" s="3" t="inlineStr">
        <is>
          <t>• Open the file. Data refreshes automatically within ~30 seconds.</t>
        </is>
      </c>
    </row>
    <row r="25" ht="20" customHeight="1">
      <c r="B25" s="3" t="inlineStr">
        <is>
          <t>• If you want to force a refresh: Data → Refresh All (or Ctrl+Alt+F5).</t>
        </is>
      </c>
    </row>
    <row r="26">
      <c r="B26" s="2" t="inlineStr"/>
    </row>
    <row r="27" ht="22" customHeight="1">
      <c r="B27" s="4" t="inlineStr">
        <is>
          <t>If something looks broken</t>
        </is>
      </c>
    </row>
    <row r="28" ht="40" customHeight="1">
      <c r="B28" s="3" t="inlineStr">
        <is>
          <t>• KPI shows #REF! → the table reference is broken. Click the cell to see which table/column it's looking for. Most likely the table got renamed; restore tblVisitor / tblOutreach as the table names (Table Design tab).</t>
        </is>
      </c>
    </row>
    <row r="29" ht="28" customHeight="1">
      <c r="B29" s="3" t="inlineStr">
        <is>
          <t>• KPI shows 0 when you expect numbers → check Data → Queries &amp; Connections; the Forms responses file may have moved. Edit the query → fix the source path.</t>
        </is>
      </c>
    </row>
    <row r="30" ht="40" customHeight="1">
      <c r="B30" s="3" t="inlineStr">
        <is>
          <t>• Heatmap is all empty → the Time block question wording must match TIME_BLOCKS exactly: 'Morning (open – 12pm)', 'Afternoon (12 – 4pm)', 'Evening (4pm – close)'. Em-dashes matter; check carefully.</t>
        </is>
      </c>
    </row>
    <row r="31">
      <c r="B31" s="2" t="inlineStr"/>
    </row>
    <row r="32" ht="22" customHeight="1">
      <c r="B32" s="4" t="inlineStr">
        <is>
          <t>Maintenance</t>
        </is>
      </c>
    </row>
    <row r="33" ht="40" customHeight="1">
      <c r="B33" s="3" t="inlineStr">
        <is>
          <t>• Adding a category in Forms → after the next submission, the new column appears in the Forms export. Power Query refresh picks it up. To include it in the 'Inquiries logged' KPI, edit that formula on the Dashboard sheet.</t>
        </is>
      </c>
    </row>
    <row r="34" ht="40" customHeight="1">
      <c r="B34" s="3" t="inlineStr">
        <is>
          <t>• Renaming a Forms question → Power Query will throw on next refresh because it expects the old column name. Edit the query → 'Renamed Columns' step → update the mapping.</t>
        </is>
      </c>
    </row>
    <row r="35" ht="28" customHeight="1">
      <c r="B35" s="3" t="inlineStr">
        <is>
          <t>• Adding a new campus → update the helper table on _Helpers (rows 4-7) and the heatmap rows on the Dashboard.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4"/>
  <sheetViews>
    <sheetView showGridLines="0"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ht="32" customHeight="1">
      <c r="A1" s="5" t="inlineStr">
        <is>
          <t>Student Engagement Dashboard</t>
        </is>
      </c>
    </row>
    <row r="2" ht="18" customHeight="1">
      <c r="A2" s="6" t="inlineStr">
        <is>
          <t>Sums every submission in tblVisitor / tblOutreach. Add a date timeline + slicers later for interactive filtering.</t>
        </is>
      </c>
    </row>
    <row r="3" ht="22" customHeight="1">
      <c r="A3" s="7" t="inlineStr">
        <is>
          <t xml:space="preserve">  KEY METRICS</t>
        </is>
      </c>
    </row>
    <row r="4" ht="16" customHeight="1">
      <c r="A4" s="8" t="inlineStr">
        <is>
          <t>PEOPLE HELPED (VISITOR)</t>
        </is>
      </c>
      <c r="B4" s="9" t="n"/>
      <c r="C4" s="9" t="n"/>
      <c r="D4" s="8" t="inlineStr">
        <is>
          <t>INQUIRIES LOGGED</t>
        </is>
      </c>
      <c r="E4" s="9" t="n"/>
      <c r="F4" s="9" t="n"/>
      <c r="G4" s="8" t="inlineStr">
        <is>
          <t>TOP CAMPUS BY HEADCOUNT</t>
        </is>
      </c>
      <c r="H4" s="9" t="n"/>
      <c r="I4" s="9" t="n"/>
      <c r="J4" s="8" t="inlineStr">
        <is>
          <t>PEOPLE HELPED (OUTREACH)</t>
        </is>
      </c>
      <c r="K4" s="9" t="n"/>
      <c r="L4" s="9" t="n"/>
    </row>
    <row r="5" ht="30" customHeight="1">
      <c r="A5" s="10">
        <f>IFERROR(SUM(tblVisitor[How many helped]),0)</f>
        <v/>
      </c>
      <c r="D5" s="10">
        <f>IFERROR(SUM(tblVisitor[Wayfinding – General]),0)+IFERROR(SUM(tblVisitor[OneCard]),0)+IFERROR(SUM(tblVisitor[IT Support]),0)+IFERROR(SUM(tblVisitor[Bus Pass / Transportation]),0)+IFERROR(SUM(tblVisitor[Parking]),0)+IFERROR(SUM(tblVisitor[Timetable / Registration Concern]),0)+IFERROR(SUM(tblVisitor[Student Fees / Student Financial Services]),0)+IFERROR(SUM(tblVisitor[Learning Services / Math Help / Tutors]),0)+IFERROR(SUM(tblVisitor[Want to Change Program]),0)+IFERROR(SUM(tblVisitor[Connect with Faculty / Program Coordinator / Chair]),0)+IFERROR(SUM(tblVisitor[Health Insurance]),0)+IFERROR(SUM(tblVisitor[Mental Health Support / Counselling]),0)+IFERROR(SUM(tblVisitor[Medical Clinic / Medical Care]),0)+IFERROR(SUM(tblVisitor[Housing / Accommodation]),0)+IFERROR(SUM(tblVisitor[Job Search / Career Services]),0)+IFERROR(SUM(tblVisitor[Immigration / International Student Advising Referral]),0)+IFERROR(SUM(tblVisitor[International Transition Services]),0)+IFERROR(SUM(tblVisitor[International Admissions – Second Program]),0)+IFERROR(SUM(tblVisitor[Library – Tech Loans / TeachMeTech]),0)+IFERROR(SUM(tblVisitor[Library – Research / Writing Consultants]),0)+IFERROR(SUM(tblVisitor[Library – Academic Integrity]),0)+IFERROR(SUM(tblVisitor[CSI – Frosh Kits]),0)+IFERROR(SUM(tblVisitor[CSI – Peer Advocates]),0)+IFERROR(SUM(tblVisitor[Others]),0)</f>
        <v/>
      </c>
      <c r="G5" s="10">
        <f>IFERROR(INDEX(_Helpers!A4:A7,MATCH(MAX(_Helpers!B4:B7),_Helpers!B4:B7,0)),"—")</f>
        <v/>
      </c>
      <c r="J5" s="10">
        <f>IFERROR(SUM(tblOutreach[How many helped]),0)</f>
        <v/>
      </c>
    </row>
    <row r="6" ht="16" customHeight="1">
      <c r="A6" s="11">
        <f>IF(ROWS(tblVisitor[Submission ID])=0,"No data yet",ROWS(tblVisitor[Submission ID])&amp;" submissions")</f>
        <v/>
      </c>
      <c r="D6" s="11" t="inlineStr">
        <is>
          <t>Sum across all 24 categories</t>
        </is>
      </c>
      <c r="G6" s="11">
        <f>IFERROR(MAX(_Helpers!B4:B7)&amp;" people helped","No data")</f>
        <v/>
      </c>
      <c r="J6" s="11">
        <f>IFERROR(ROWS(tblOutreach[Submission ID])&amp;" outreach entries","")</f>
        <v/>
      </c>
    </row>
    <row r="7" ht="22" customHeight="1">
      <c r="A7" s="7" t="inlineStr">
        <is>
          <t xml:space="preserve">  ENGAGEMENT HEATMAP — CAMPUS × TIME BLOCK</t>
        </is>
      </c>
    </row>
    <row r="8">
      <c r="A8" s="12" t="inlineStr">
        <is>
          <t>Campus</t>
        </is>
      </c>
      <c r="B8" s="12" t="inlineStr">
        <is>
          <t>Morning</t>
        </is>
      </c>
      <c r="C8" s="12" t="inlineStr">
        <is>
          <t>Afternoon</t>
        </is>
      </c>
      <c r="D8" s="12" t="inlineStr">
        <is>
          <t>Evening</t>
        </is>
      </c>
    </row>
    <row r="9" ht="28" customHeight="1">
      <c r="A9" s="13" t="inlineStr">
        <is>
          <t>Waterloo</t>
        </is>
      </c>
      <c r="B9" s="14">
        <f>IFERROR(SUMIFS(tblVisitor[How many helped],tblVisitor[Campus],"Waterloo",tblVisitor[Time block],"Morning (open – 12pm)"),0)</f>
        <v/>
      </c>
      <c r="C9" s="14">
        <f>IFERROR(SUMIFS(tblVisitor[How many helped],tblVisitor[Campus],"Waterloo",tblVisitor[Time block],"Afternoon (12 – 4pm)"),0)</f>
        <v/>
      </c>
      <c r="D9" s="14">
        <f>IFERROR(SUMIFS(tblVisitor[How many helped],tblVisitor[Campus],"Waterloo",tblVisitor[Time block],"Evening (4pm – close)"),0)</f>
        <v/>
      </c>
    </row>
    <row r="10" ht="28" customHeight="1">
      <c r="A10" s="13" t="inlineStr">
        <is>
          <t>Doon</t>
        </is>
      </c>
      <c r="B10" s="14">
        <f>IFERROR(SUMIFS(tblVisitor[How many helped],tblVisitor[Campus],"Doon",tblVisitor[Time block],"Morning (open – 12pm)"),0)</f>
        <v/>
      </c>
      <c r="C10" s="14">
        <f>IFERROR(SUMIFS(tblVisitor[How many helped],tblVisitor[Campus],"Doon",tblVisitor[Time block],"Afternoon (12 – 4pm)"),0)</f>
        <v/>
      </c>
      <c r="D10" s="14">
        <f>IFERROR(SUMIFS(tblVisitor[How many helped],tblVisitor[Campus],"Doon",tblVisitor[Time block],"Evening (4pm – close)"),0)</f>
        <v/>
      </c>
    </row>
    <row r="11" ht="28" customHeight="1">
      <c r="A11" s="13" t="inlineStr">
        <is>
          <t>Reuter</t>
        </is>
      </c>
      <c r="B11" s="14">
        <f>IFERROR(SUMIFS(tblVisitor[How many helped],tblVisitor[Campus],"Reuter",tblVisitor[Time block],"Morning (open – 12pm)"),0)</f>
        <v/>
      </c>
      <c r="C11" s="14">
        <f>IFERROR(SUMIFS(tblVisitor[How many helped],tblVisitor[Campus],"Reuter",tblVisitor[Time block],"Afternoon (12 – 4pm)"),0)</f>
        <v/>
      </c>
      <c r="D11" s="14">
        <f>IFERROR(SUMIFS(tblVisitor[How many helped],tblVisitor[Campus],"Reuter",tblVisitor[Time block],"Evening (4pm – close)"),0)</f>
        <v/>
      </c>
    </row>
    <row r="12" ht="28" customHeight="1">
      <c r="A12" s="13" t="inlineStr">
        <is>
          <t>Cambridge</t>
        </is>
      </c>
      <c r="B12" s="14">
        <f>IFERROR(SUMIFS(tblVisitor[How many helped],tblVisitor[Campus],"Cambridge",tblVisitor[Time block],"Morning (open – 12pm)"),0)</f>
        <v/>
      </c>
      <c r="C12" s="14">
        <f>IFERROR(SUMIFS(tblVisitor[How many helped],tblVisitor[Campus],"Cambridge",tblVisitor[Time block],"Afternoon (12 – 4pm)"),0)</f>
        <v/>
      </c>
      <c r="D12" s="14">
        <f>IFERROR(SUMIFS(tblVisitor[How many helped],tblVisitor[Campus],"Cambridge",tblVisitor[Time block],"Evening (4pm – close)"),0)</f>
        <v/>
      </c>
    </row>
    <row r="14" ht="22" customHeight="1">
      <c r="A14" s="7" t="inlineStr">
        <is>
          <t xml:space="preserve">  TOP INQUIRY CATEGORIES</t>
        </is>
      </c>
    </row>
    <row r="15">
      <c r="A15" s="6" t="inlineStr">
        <is>
          <t>Chart sourced from _Helpers!H column. Sort the helper rows by count desc to manually rank the bars.</t>
        </is>
      </c>
    </row>
    <row r="31" ht="22" customHeight="1">
      <c r="A31" s="7" t="inlineStr">
        <is>
          <t xml:space="preserve">  OUTREACH THEMES — PEOPLE HELPED</t>
        </is>
      </c>
    </row>
    <row r="47" ht="22" customHeight="1">
      <c r="A47" s="7" t="inlineStr">
        <is>
          <t xml:space="preserve">  OUTREACH REACH BY CAMPUS</t>
        </is>
      </c>
    </row>
    <row r="60" ht="22" customHeight="1">
      <c r="A60" s="7" t="inlineStr">
        <is>
          <t xml:space="preserve">  WHAT'S MISSING — ADD MANUALLY IN EXCEL</t>
        </is>
      </c>
    </row>
    <row r="61">
      <c r="A61" s="15" t="inlineStr">
        <is>
          <t>The starter pre-builds: data tables, KPI tiles, heatmap, and 3 charts.</t>
        </is>
      </c>
    </row>
    <row r="62" ht="60" customHeight="1">
      <c r="A62" s="16" t="inlineStr">
        <is>
          <t>Add manually for full interactivity: 1) Power Query connection to your Forms response files (Data → Get Data → From File → From Workbook). 2) Slicers on Campus/Time block (Insert → Slicer, after creating any pivot table). 3) Date Timeline (Insert → Timeline). See excel-dashboard-build-guide.md for the rest.</t>
        </is>
      </c>
    </row>
    <row r="63"/>
    <row r="64"/>
  </sheetData>
  <mergeCells count="22">
    <mergeCell ref="J6:L6"/>
    <mergeCell ref="A15:H15"/>
    <mergeCell ref="G6:I6"/>
    <mergeCell ref="A60:H60"/>
    <mergeCell ref="J4:L4"/>
    <mergeCell ref="A1:H1"/>
    <mergeCell ref="A5:C5"/>
    <mergeCell ref="G5:I5"/>
    <mergeCell ref="A7:H7"/>
    <mergeCell ref="D4:F4"/>
    <mergeCell ref="G4:I4"/>
    <mergeCell ref="A4:C4"/>
    <mergeCell ref="A3:H3"/>
    <mergeCell ref="D5:F5"/>
    <mergeCell ref="A2:H2"/>
    <mergeCell ref="A14:H14"/>
    <mergeCell ref="A47:H47"/>
    <mergeCell ref="J5:L5"/>
    <mergeCell ref="A6:C6"/>
    <mergeCell ref="A62:H64"/>
    <mergeCell ref="D6:F6"/>
    <mergeCell ref="A31:H31"/>
  </mergeCells>
  <conditionalFormatting sqref="B9:D12">
    <cfRule type="colorScale" priority="1">
      <colorScale>
        <cfvo type="num" val="0"/>
        <cfvo type="percentile" val="50"/>
        <cfvo type="max"/>
        <color rgb="00FFFFFF"/>
        <color rgb="005CBAB1"/>
        <color rgb="00036C70"/>
      </colorScale>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F2"/>
  <sheetViews>
    <sheetView workbookViewId="0">
      <pane ySplit="1" topLeftCell="A2" activePane="bottomLeft" state="frozen"/>
      <selection pane="bottomLeft" activeCell="A1" sqref="A1"/>
    </sheetView>
  </sheetViews>
  <sheetFormatPr baseColWidth="8" defaultRowHeight="15"/>
  <cols>
    <col width="17" customWidth="1" min="1" max="1"/>
    <col width="16" customWidth="1" min="2" max="2"/>
    <col width="14" customWidth="1" min="3" max="3"/>
    <col width="14" customWidth="1" min="4" max="4"/>
    <col width="14" customWidth="1" min="5" max="5"/>
    <col width="14" customWidth="1" min="6" max="6"/>
    <col width="19" customWidth="1" min="7" max="7"/>
    <col width="24" customWidth="1" min="8" max="8"/>
    <col width="14" customWidth="1" min="9" max="9"/>
    <col width="14" customWidth="1" min="10" max="10"/>
    <col width="29" customWidth="1" min="11" max="11"/>
    <col width="14" customWidth="1" min="12" max="12"/>
    <col width="36" customWidth="1" min="13" max="13"/>
    <col width="45" customWidth="1" min="14" max="14"/>
    <col width="42" customWidth="1" min="15" max="15"/>
    <col width="26" customWidth="1" min="16" max="16"/>
    <col width="50" customWidth="1" min="17" max="17"/>
    <col width="20" customWidth="1" min="18" max="18"/>
    <col width="39" customWidth="1" min="19" max="19"/>
    <col width="33" customWidth="1" min="20" max="20"/>
    <col width="27" customWidth="1" min="21" max="21"/>
    <col width="32" customWidth="1" min="22" max="22"/>
    <col width="50" customWidth="1" min="23" max="23"/>
    <col width="37" customWidth="1" min="24" max="24"/>
    <col width="45" customWidth="1" min="25" max="25"/>
    <col width="38" customWidth="1" min="26" max="26"/>
    <col width="44" customWidth="1" min="27" max="27"/>
    <col width="32" customWidth="1" min="28" max="28"/>
    <col width="20" customWidth="1" min="29" max="29"/>
    <col width="24" customWidth="1" min="30" max="30"/>
    <col width="14" customWidth="1" min="31" max="31"/>
    <col width="20" customWidth="1" min="32" max="32"/>
  </cols>
  <sheetData>
    <row r="1" ht="28" customHeight="1">
      <c r="A1" s="17" t="inlineStr">
        <is>
          <t>Submission ID</t>
        </is>
      </c>
      <c r="B1" s="17" t="inlineStr">
        <is>
          <t>Submitted at</t>
        </is>
      </c>
      <c r="C1" s="17" t="inlineStr">
        <is>
          <t>Name</t>
        </is>
      </c>
      <c r="D1" s="17" t="inlineStr">
        <is>
          <t>Email</t>
        </is>
      </c>
      <c r="E1" s="17" t="inlineStr">
        <is>
          <t>Campus</t>
        </is>
      </c>
      <c r="F1" s="17" t="inlineStr">
        <is>
          <t>Time block</t>
        </is>
      </c>
      <c r="G1" s="17" t="inlineStr">
        <is>
          <t>How many helped</t>
        </is>
      </c>
      <c r="H1" s="17" t="inlineStr">
        <is>
          <t>Wayfinding – General</t>
        </is>
      </c>
      <c r="I1" s="17" t="inlineStr">
        <is>
          <t>OneCard</t>
        </is>
      </c>
      <c r="J1" s="17" t="inlineStr">
        <is>
          <t>IT Support</t>
        </is>
      </c>
      <c r="K1" s="17" t="inlineStr">
        <is>
          <t>Bus Pass / Transportation</t>
        </is>
      </c>
      <c r="L1" s="17" t="inlineStr">
        <is>
          <t>Parking</t>
        </is>
      </c>
      <c r="M1" s="17" t="inlineStr">
        <is>
          <t>Timetable / Registration Concern</t>
        </is>
      </c>
      <c r="N1" s="17" t="inlineStr">
        <is>
          <t>Student Fees / Student Financial Services</t>
        </is>
      </c>
      <c r="O1" s="17" t="inlineStr">
        <is>
          <t>Learning Services / Math Help / Tutors</t>
        </is>
      </c>
      <c r="P1" s="17" t="inlineStr">
        <is>
          <t>Want to Change Program</t>
        </is>
      </c>
      <c r="Q1" s="17" t="inlineStr">
        <is>
          <t>Connect with Faculty / Program Coordinator / Chair</t>
        </is>
      </c>
      <c r="R1" s="17" t="inlineStr">
        <is>
          <t>Health Insurance</t>
        </is>
      </c>
      <c r="S1" s="17" t="inlineStr">
        <is>
          <t>Mental Health Support / Counselling</t>
        </is>
      </c>
      <c r="T1" s="17" t="inlineStr">
        <is>
          <t>Medical Clinic / Medical Care</t>
        </is>
      </c>
      <c r="U1" s="17" t="inlineStr">
        <is>
          <t>Housing / Accommodation</t>
        </is>
      </c>
      <c r="V1" s="17" t="inlineStr">
        <is>
          <t>Job Search / Career Services</t>
        </is>
      </c>
      <c r="W1" s="17" t="inlineStr">
        <is>
          <t>Immigration / International Student Advising Referral</t>
        </is>
      </c>
      <c r="X1" s="17" t="inlineStr">
        <is>
          <t>International Transition Services</t>
        </is>
      </c>
      <c r="Y1" s="17" t="inlineStr">
        <is>
          <t>International Admissions – Second Program</t>
        </is>
      </c>
      <c r="Z1" s="17" t="inlineStr">
        <is>
          <t>Library – Tech Loans / TeachMeTech</t>
        </is>
      </c>
      <c r="AA1" s="17" t="inlineStr">
        <is>
          <t>Library – Research / Writing Consultants</t>
        </is>
      </c>
      <c r="AB1" s="17" t="inlineStr">
        <is>
          <t>Library – Academic Integrity</t>
        </is>
      </c>
      <c r="AC1" s="17" t="inlineStr">
        <is>
          <t>CSI – Frosh Kits</t>
        </is>
      </c>
      <c r="AD1" s="17" t="inlineStr">
        <is>
          <t>CSI – Peer Advocates</t>
        </is>
      </c>
      <c r="AE1" s="17" t="inlineStr">
        <is>
          <t>Others</t>
        </is>
      </c>
      <c r="AF1" s="17" t="inlineStr">
        <is>
          <t>Others (Inquiry)</t>
        </is>
      </c>
    </row>
    <row r="2"/>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7" customWidth="1" min="1" max="1"/>
    <col width="16" customWidth="1" min="2" max="2"/>
    <col width="14" customWidth="1" min="3" max="3"/>
    <col width="14" customWidth="1" min="4" max="4"/>
    <col width="14" customWidth="1" min="5" max="5"/>
    <col width="20" customWidth="1" min="6" max="6"/>
    <col width="19" customWidth="1" min="7" max="7"/>
    <col width="21" customWidth="1" min="8" max="8"/>
    <col width="25" customWidth="1" min="9" max="9"/>
    <col width="14" customWidth="1" min="10" max="10"/>
  </cols>
  <sheetData>
    <row r="1" ht="28" customHeight="1">
      <c r="A1" s="17" t="inlineStr">
        <is>
          <t>Submission ID</t>
        </is>
      </c>
      <c r="B1" s="17" t="inlineStr">
        <is>
          <t>Submitted at</t>
        </is>
      </c>
      <c r="C1" s="17" t="inlineStr">
        <is>
          <t>Name</t>
        </is>
      </c>
      <c r="D1" s="17" t="inlineStr">
        <is>
          <t>Email</t>
        </is>
      </c>
      <c r="E1" s="17" t="inlineStr">
        <is>
          <t>Campus</t>
        </is>
      </c>
      <c r="F1" s="17" t="inlineStr">
        <is>
          <t>Date of activity</t>
        </is>
      </c>
      <c r="G1" s="17" t="inlineStr">
        <is>
          <t>How many helped</t>
        </is>
      </c>
      <c r="H1" s="17" t="inlineStr">
        <is>
          <t>Outreach Activity</t>
        </is>
      </c>
      <c r="I1" s="17" t="inlineStr">
        <is>
          <t>Other activity (text)</t>
        </is>
      </c>
      <c r="J1" s="17" t="inlineStr">
        <is>
          <t>Notes</t>
        </is>
      </c>
    </row>
    <row r="2"/>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1:H8"/>
  <sheetViews>
    <sheetView showGridLines="0" workbookViewId="0">
      <selection activeCell="A1" sqref="A1"/>
    </sheetView>
  </sheetViews>
  <sheetFormatPr baseColWidth="8" defaultRowHeight="15"/>
  <cols>
    <col width="4" customWidth="1" min="1" max="1"/>
    <col width="100" customWidth="1" min="2" max="2"/>
  </cols>
  <sheetData>
    <row r="1" ht="30" customHeight="1">
      <c r="B1" s="18" t="inlineStr">
        <is>
          <t>Weekly Report</t>
        </is>
      </c>
    </row>
    <row r="3" ht="90" customHeight="1">
      <c r="B3" s="16" t="inlineStr">
        <is>
          <t>This sheet is a placeholder for the rolled-up report. To build it: Insert a PivotTable on tblVisitor → Rows: Submitted at (right-click → Group → Days × 7 + Months + Years), Campus → Values: Sum of How many helped. Drop slicers for Campus and Time block. Print Layout → Landscape, Page Setup → Print Area = the pivot range. Page → File → Export → PDF.</t>
        </is>
      </c>
    </row>
    <row r="4"/>
    <row r="5"/>
    <row r="6"/>
    <row r="7"/>
    <row r="8"/>
  </sheetData>
  <mergeCells count="1">
    <mergeCell ref="B3:H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H8"/>
  <sheetViews>
    <sheetView showGridLines="0" workbookViewId="0">
      <selection activeCell="A1" sqref="A1"/>
    </sheetView>
  </sheetViews>
  <sheetFormatPr baseColWidth="8" defaultRowHeight="15"/>
  <cols>
    <col width="4" customWidth="1" min="1" max="1"/>
    <col width="100" customWidth="1" min="2" max="2"/>
  </cols>
  <sheetData>
    <row r="1" ht="30" customHeight="1">
      <c r="B1" s="18" t="inlineStr">
        <is>
          <t>Monthly Report</t>
        </is>
      </c>
    </row>
    <row r="3" ht="90" customHeight="1">
      <c r="B3" s="16" t="inlineStr">
        <is>
          <t>This sheet is a placeholder for the rolled-up report. To build it: Insert a PivotTable on tblVisitor → Rows: Submitted at (right-click → Group → Months + Years), Campus → Values: Sum of How many helped. Drop slicers for Campus and Time block. Print Layout → Landscape, Page Setup → Print Area = the pivot range. Page → File → Export → PDF.</t>
        </is>
      </c>
    </row>
    <row r="4"/>
    <row r="5"/>
    <row r="6"/>
    <row r="7"/>
    <row r="8"/>
  </sheetData>
  <mergeCells count="1">
    <mergeCell ref="B3:H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
  <sheetViews>
    <sheetView showGridLines="0" workbookViewId="0">
      <selection activeCell="A1" sqref="A1"/>
    </sheetView>
  </sheetViews>
  <sheetFormatPr baseColWidth="8" defaultRowHeight="15"/>
  <cols>
    <col width="36" customWidth="1" min="1" max="1"/>
    <col width="16" customWidth="1" min="2" max="2"/>
    <col width="36" customWidth="1" min="4" max="4"/>
    <col width="16" customWidth="1" min="5" max="5"/>
    <col width="36" customWidth="1" min="7" max="7"/>
    <col width="16" customWidth="1" min="8" max="8"/>
    <col width="36" customWidth="1" min="10" max="10"/>
    <col width="16" customWidth="1" min="11" max="11"/>
    <col width="36" customWidth="1" min="13" max="13"/>
    <col width="16" customWidth="1" min="14" max="14"/>
  </cols>
  <sheetData>
    <row r="1">
      <c r="A1" s="19" t="inlineStr">
        <is>
          <t>CAMPUS TOTALS</t>
        </is>
      </c>
      <c r="D1" s="19" t="inlineStr">
        <is>
          <t>DAILY TOTALS (helper)</t>
        </is>
      </c>
      <c r="G1" s="19" t="inlineStr">
        <is>
          <t>CATEGORY TOTALS</t>
        </is>
      </c>
      <c r="J1" s="19" t="inlineStr">
        <is>
          <t>OUTREACH THEME TOTALS</t>
        </is>
      </c>
      <c r="M1" s="19" t="inlineStr">
        <is>
          <t>OUTREACH BY CAMPUS</t>
        </is>
      </c>
    </row>
    <row r="3">
      <c r="A3" s="20" t="inlineStr">
        <is>
          <t>Campus</t>
        </is>
      </c>
      <c r="B3" s="20" t="inlineStr">
        <is>
          <t>People helped</t>
        </is>
      </c>
      <c r="D3" s="20" t="inlineStr">
        <is>
          <t>Date</t>
        </is>
      </c>
      <c r="E3" s="20" t="inlineStr">
        <is>
          <t>People helped</t>
        </is>
      </c>
      <c r="G3" s="20" t="inlineStr">
        <is>
          <t>Category</t>
        </is>
      </c>
      <c r="H3" s="20" t="inlineStr">
        <is>
          <t>Total inquiries</t>
        </is>
      </c>
      <c r="J3" s="20" t="inlineStr">
        <is>
          <t>Theme</t>
        </is>
      </c>
      <c r="K3" s="20" t="inlineStr">
        <is>
          <t>People helped</t>
        </is>
      </c>
      <c r="M3" s="20" t="inlineStr">
        <is>
          <t>Campus</t>
        </is>
      </c>
      <c r="N3" s="20" t="inlineStr">
        <is>
          <t>People helped</t>
        </is>
      </c>
    </row>
    <row r="4">
      <c r="A4" t="inlineStr">
        <is>
          <t>Waterloo</t>
        </is>
      </c>
      <c r="B4">
        <f>IFERROR(SUMIFS(tblVisitor[How many helped],tblVisitor[Campus],"Waterloo"),0)</f>
        <v/>
      </c>
      <c r="D4" s="6" t="inlineStr">
        <is>
          <t>(Build a PivotChart on tblVisitor for the daily trend — too dynamic for a static helper.)</t>
        </is>
      </c>
      <c r="G4" t="inlineStr">
        <is>
          <t>Wayfinding – General</t>
        </is>
      </c>
      <c r="H4">
        <f>IFERROR(SUM(tblVisitor[Wayfinding – General]),0)</f>
        <v/>
      </c>
      <c r="J4" t="inlineStr">
        <is>
          <t>Bell Let's Talk</t>
        </is>
      </c>
      <c r="K4">
        <f>IFERROR(SUMIFS(tblOutreach[How many helped],tblOutreach[Outreach Activity],"Bell Let's Talk"),0)</f>
        <v/>
      </c>
      <c r="M4" t="inlineStr">
        <is>
          <t>Waterloo</t>
        </is>
      </c>
      <c r="N4">
        <f>IFERROR(SUMIFS(tblOutreach[How many helped],tblOutreach[Campus],"Waterloo"),0)</f>
        <v/>
      </c>
    </row>
    <row r="5">
      <c r="A5" t="inlineStr">
        <is>
          <t>Doon</t>
        </is>
      </c>
      <c r="B5">
        <f>IFERROR(SUMIFS(tblVisitor[How many helped],tblVisitor[Campus],"Doon"),0)</f>
        <v/>
      </c>
      <c r="G5" t="inlineStr">
        <is>
          <t>OneCard</t>
        </is>
      </c>
      <c r="H5">
        <f>IFERROR(SUM(tblVisitor[OneCard]),0)</f>
        <v/>
      </c>
      <c r="J5" t="inlineStr">
        <is>
          <t>Black History Month</t>
        </is>
      </c>
      <c r="K5">
        <f>IFERROR(SUMIFS(tblOutreach[How many helped],tblOutreach[Outreach Activity],"Black History Month"),0)</f>
        <v/>
      </c>
      <c r="M5" t="inlineStr">
        <is>
          <t>Doon</t>
        </is>
      </c>
      <c r="N5">
        <f>IFERROR(SUMIFS(tblOutreach[How many helped],tblOutreach[Campus],"Doon"),0)</f>
        <v/>
      </c>
    </row>
    <row r="6">
      <c r="A6" t="inlineStr">
        <is>
          <t>Reuter</t>
        </is>
      </c>
      <c r="B6">
        <f>IFERROR(SUMIFS(tblVisitor[How many helped],tblVisitor[Campus],"Reuter"),0)</f>
        <v/>
      </c>
      <c r="G6" t="inlineStr">
        <is>
          <t>IT Support</t>
        </is>
      </c>
      <c r="H6">
        <f>IFERROR(SUM(tblVisitor[IT Support]),0)</f>
        <v/>
      </c>
      <c r="J6" t="inlineStr">
        <is>
          <t>Campus Welcome Day</t>
        </is>
      </c>
      <c r="K6">
        <f>IFERROR(SUMIFS(tblOutreach[How many helped],tblOutreach[Outreach Activity],"Campus Welcome Day"),0)</f>
        <v/>
      </c>
      <c r="M6" t="inlineStr">
        <is>
          <t>Reuter</t>
        </is>
      </c>
      <c r="N6">
        <f>IFERROR(SUMIFS(tblOutreach[How many helped],tblOutreach[Campus],"Reuter"),0)</f>
        <v/>
      </c>
    </row>
    <row r="7">
      <c r="A7" t="inlineStr">
        <is>
          <t>Cambridge</t>
        </is>
      </c>
      <c r="B7">
        <f>IFERROR(SUMIFS(tblVisitor[How many helped],tblVisitor[Campus],"Cambridge"),0)</f>
        <v/>
      </c>
      <c r="G7" t="inlineStr">
        <is>
          <t>Bus Pass / Transportation</t>
        </is>
      </c>
      <c r="H7">
        <f>IFERROR(SUM(tblVisitor[Bus Pass / Transportation]),0)</f>
        <v/>
      </c>
      <c r="J7" t="inlineStr">
        <is>
          <t>CCR and SSP Promotion</t>
        </is>
      </c>
      <c r="K7">
        <f>IFERROR(SUMIFS(tblOutreach[How many helped],tblOutreach[Outreach Activity],"CCR and SSP Promotion"),0)</f>
        <v/>
      </c>
      <c r="M7" t="inlineStr">
        <is>
          <t>Cambridge</t>
        </is>
      </c>
      <c r="N7">
        <f>IFERROR(SUMIFS(tblOutreach[How many helped],tblOutreach[Campus],"Cambridge"),0)</f>
        <v/>
      </c>
    </row>
    <row r="8">
      <c r="G8" t="inlineStr">
        <is>
          <t>Parking</t>
        </is>
      </c>
      <c r="H8">
        <f>IFERROR(SUM(tblVisitor[Parking]),0)</f>
        <v/>
      </c>
      <c r="J8" t="inlineStr">
        <is>
          <t>Celebrating Diversity</t>
        </is>
      </c>
      <c r="K8">
        <f>IFERROR(SUMIFS(tblOutreach[How many helped],tblOutreach[Outreach Activity],"Celebrating Diversity"),0)</f>
        <v/>
      </c>
    </row>
    <row r="9">
      <c r="G9" t="inlineStr">
        <is>
          <t>Timetable / Registration Concern</t>
        </is>
      </c>
      <c r="H9">
        <f>IFERROR(SUM(tblVisitor[Timetable / Registration Concern]),0)</f>
        <v/>
      </c>
      <c r="J9" t="inlineStr">
        <is>
          <t>Health and Wellness Outreach</t>
        </is>
      </c>
      <c r="K9">
        <f>IFERROR(SUMIFS(tblOutreach[How many helped],tblOutreach[Outreach Activity],"Health and Wellness Outreach"),0)</f>
        <v/>
      </c>
    </row>
    <row r="10">
      <c r="G10" t="inlineStr">
        <is>
          <t>Student Fees / Student Financial Services</t>
        </is>
      </c>
      <c r="H10">
        <f>IFERROR(SUM(tblVisitor[Student Fees / Student Financial Services]),0)</f>
        <v/>
      </c>
      <c r="J10" t="inlineStr">
        <is>
          <t>International Women's Day</t>
        </is>
      </c>
      <c r="K10">
        <f>IFERROR(SUMIFS(tblOutreach[How many helped],tblOutreach[Outreach Activity],"International Women's Day"),0)</f>
        <v/>
      </c>
    </row>
    <row r="11">
      <c r="G11" t="inlineStr">
        <is>
          <t>Learning Services / Math Help / Tutors</t>
        </is>
      </c>
      <c r="H11">
        <f>IFERROR(SUM(tblVisitor[Learning Services / Math Help / Tutors]),0)</f>
        <v/>
      </c>
      <c r="J11" t="inlineStr">
        <is>
          <t>Pride Month</t>
        </is>
      </c>
      <c r="K11">
        <f>IFERROR(SUMIFS(tblOutreach[How many helped],tblOutreach[Outreach Activity],"Pride Month"),0)</f>
        <v/>
      </c>
    </row>
    <row r="12">
      <c r="G12" t="inlineStr">
        <is>
          <t>Want to Change Program</t>
        </is>
      </c>
      <c r="H12">
        <f>IFERROR(SUM(tblVisitor[Want to Change Program]),0)</f>
        <v/>
      </c>
      <c r="J12" t="inlineStr">
        <is>
          <t>Sexual Health Week</t>
        </is>
      </c>
      <c r="K12">
        <f>IFERROR(SUMIFS(tblOutreach[How many helped],tblOutreach[Outreach Activity],"Sexual Health Week"),0)</f>
        <v/>
      </c>
    </row>
    <row r="13">
      <c r="G13" t="inlineStr">
        <is>
          <t>Connect with Faculty / Program Coordinator / Chair</t>
        </is>
      </c>
      <c r="H13">
        <f>IFERROR(SUM(tblVisitor[Connect with Faculty / Program Coordinator / Chair]),0)</f>
        <v/>
      </c>
      <c r="J13" t="inlineStr">
        <is>
          <t>Other</t>
        </is>
      </c>
      <c r="K13">
        <f>IFERROR(SUMIFS(tblOutreach[How many helped],tblOutreach[Outreach Activity],"Other"),0)</f>
        <v/>
      </c>
    </row>
    <row r="14">
      <c r="G14" t="inlineStr">
        <is>
          <t>Health Insurance</t>
        </is>
      </c>
      <c r="H14">
        <f>IFERROR(SUM(tblVisitor[Health Insurance]),0)</f>
        <v/>
      </c>
    </row>
    <row r="15">
      <c r="G15" t="inlineStr">
        <is>
          <t>Mental Health Support / Counselling</t>
        </is>
      </c>
      <c r="H15">
        <f>IFERROR(SUM(tblVisitor[Mental Health Support / Counselling]),0)</f>
        <v/>
      </c>
    </row>
    <row r="16">
      <c r="G16" t="inlineStr">
        <is>
          <t>Medical Clinic / Medical Care</t>
        </is>
      </c>
      <c r="H16">
        <f>IFERROR(SUM(tblVisitor[Medical Clinic / Medical Care]),0)</f>
        <v/>
      </c>
    </row>
    <row r="17">
      <c r="G17" t="inlineStr">
        <is>
          <t>Housing / Accommodation</t>
        </is>
      </c>
      <c r="H17">
        <f>IFERROR(SUM(tblVisitor[Housing / Accommodation]),0)</f>
        <v/>
      </c>
    </row>
    <row r="18">
      <c r="G18" t="inlineStr">
        <is>
          <t>Job Search / Career Services</t>
        </is>
      </c>
      <c r="H18">
        <f>IFERROR(SUM(tblVisitor[Job Search / Career Services]),0)</f>
        <v/>
      </c>
    </row>
    <row r="19">
      <c r="G19" t="inlineStr">
        <is>
          <t>Immigration / International Student Advising Referral</t>
        </is>
      </c>
      <c r="H19">
        <f>IFERROR(SUM(tblVisitor[Immigration / International Student Advising Referral]),0)</f>
        <v/>
      </c>
    </row>
    <row r="20">
      <c r="G20" t="inlineStr">
        <is>
          <t>International Transition Services</t>
        </is>
      </c>
      <c r="H20">
        <f>IFERROR(SUM(tblVisitor[International Transition Services]),0)</f>
        <v/>
      </c>
    </row>
    <row r="21">
      <c r="G21" t="inlineStr">
        <is>
          <t>International Admissions – Second Program</t>
        </is>
      </c>
      <c r="H21">
        <f>IFERROR(SUM(tblVisitor[International Admissions – Second Program]),0)</f>
        <v/>
      </c>
    </row>
    <row r="22">
      <c r="G22" t="inlineStr">
        <is>
          <t>Library – Tech Loans / TeachMeTech</t>
        </is>
      </c>
      <c r="H22">
        <f>IFERROR(SUM(tblVisitor[Library – Tech Loans / TeachMeTech]),0)</f>
        <v/>
      </c>
    </row>
    <row r="23">
      <c r="G23" t="inlineStr">
        <is>
          <t>Library – Research / Writing Consultants</t>
        </is>
      </c>
      <c r="H23">
        <f>IFERROR(SUM(tblVisitor[Library – Research / Writing Consultants]),0)</f>
        <v/>
      </c>
    </row>
    <row r="24">
      <c r="G24" t="inlineStr">
        <is>
          <t>Library – Academic Integrity</t>
        </is>
      </c>
      <c r="H24">
        <f>IFERROR(SUM(tblVisitor[Library – Academic Integrity]),0)</f>
        <v/>
      </c>
    </row>
    <row r="25">
      <c r="G25" t="inlineStr">
        <is>
          <t>CSI – Frosh Kits</t>
        </is>
      </c>
      <c r="H25">
        <f>IFERROR(SUM(tblVisitor[CSI – Frosh Kits]),0)</f>
        <v/>
      </c>
    </row>
    <row r="26">
      <c r="G26" t="inlineStr">
        <is>
          <t>CSI – Peer Advocates</t>
        </is>
      </c>
      <c r="H26">
        <f>IFERROR(SUM(tblVisitor[CSI – Peer Advocates]),0)</f>
        <v/>
      </c>
    </row>
    <row r="27">
      <c r="G27" t="inlineStr">
        <is>
          <t>Others</t>
        </is>
      </c>
      <c r="H27">
        <f>IFERROR(SUM(tblVisitor[Others]),0)</f>
        <v/>
      </c>
    </row>
  </sheetData>
  <mergeCells count="6">
    <mergeCell ref="D4:E10"/>
    <mergeCell ref="D1:E1"/>
    <mergeCell ref="G1:H1"/>
    <mergeCell ref="J1:K1"/>
    <mergeCell ref="A1:B1"/>
    <mergeCell ref="M1:N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2026-05-05T20:59:37Z</dcterms:created>
  <dcterms:modified xsi:type="dcterms:W3CDTF">2026-05-05T20:59:37Z</dcterms:modified>
</cp:coreProperties>
</file>