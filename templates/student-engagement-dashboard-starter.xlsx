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abri\Documents\Project Files\Github\student-engagement\templates\"/>
    </mc:Choice>
  </mc:AlternateContent>
  <xr:revisionPtr revIDLastSave="0" documentId="13_ncr:1_{0CFAD3B4-AFF1-4C0C-8960-8F200BE9DCA1}" xr6:coauthVersionLast="47" xr6:coauthVersionMax="47" xr10:uidLastSave="{00000000-0000-0000-0000-000000000000}"/>
  <bookViews>
    <workbookView xWindow="-98" yWindow="-98" windowWidth="21795" windowHeight="12975" firstSheet="1" activeTab="1" xr2:uid="{00000000-000D-0000-FFFF-FFFF00000000}"/>
  </bookViews>
  <sheets>
    <sheet name="_PivotHost" sheetId="9" state="veryHidden" r:id="rId1"/>
    <sheet name="How to use" sheetId="1" r:id="rId2"/>
    <sheet name="Dashboard" sheetId="2" r:id="rId3"/>
    <sheet name="Visitor" sheetId="3" r:id="rId4"/>
    <sheet name="Outreach" sheetId="4" r:id="rId5"/>
    <sheet name="VisitorLong" sheetId="5" state="hidden" r:id="rId6"/>
    <sheet name="Reports — Weekly" sheetId="6" r:id="rId7"/>
    <sheet name="Reports — Monthly" sheetId="7" r:id="rId8"/>
    <sheet name="_Helpers" sheetId="8" state="hidden" r:id="rId9"/>
  </sheets>
  <definedNames>
    <definedName name="Slicer_Campus">#N/A</definedName>
    <definedName name="Slicer_Time_block_this_submission_covers">#N/A</definedName>
  </definedNames>
  <calcPr calcId="191029"/>
  <pivotCaches>
    <pivotCache cacheId="7" r:id="rId10"/>
    <pivotCache cacheId="11" r:id="rId11"/>
    <pivotCache cacheId="17"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8" l="1"/>
  <c r="B6" i="8"/>
  <c r="B5" i="8"/>
  <c r="B4" i="8"/>
  <c r="D12" i="2"/>
  <c r="C12" i="2"/>
  <c r="B12" i="2"/>
  <c r="D11" i="2"/>
  <c r="C11" i="2"/>
  <c r="B11" i="2"/>
  <c r="D10" i="2"/>
  <c r="C10" i="2"/>
  <c r="B10" i="2"/>
  <c r="D9" i="2"/>
  <c r="C9" i="2"/>
  <c r="B9" i="2"/>
  <c r="J6" i="2"/>
  <c r="A6" i="2"/>
  <c r="J5" i="2"/>
  <c r="D5" i="2"/>
  <c r="A5" i="2"/>
  <c r="G6" i="2" l="1"/>
  <c r="G5" i="2"/>
</calcChain>
</file>

<file path=xl/sharedStrings.xml><?xml version="1.0" encoding="utf-8"?>
<sst xmlns="http://schemas.openxmlformats.org/spreadsheetml/2006/main" count="138" uniqueCount="96">
  <si>
    <t>How to use this workbook (v2 — long-format)</t>
  </si>
  <si>
    <t>This template is built around the actual Microsoft Forms export shape, with category data unpivoted into a long-format table so adding a new question in Forms doesn't break anything.</t>
  </si>
  <si>
    <t>Sheets</t>
  </si>
  <si>
    <t>• Dashboard — Shannon's main view. KPI tiles, heatmap, slicers, charts.</t>
  </si>
  <si>
    <t>• Visitor — wide table tblVisitor (one row per submission). Columns match Forms export exactly.</t>
  </si>
  <si>
    <t>• Outreach — wide table tblOutreach. Same.</t>
  </si>
  <si>
    <t>• Reports — Weekly / Monthly — pre-built pivots grouped by date. Filtered by the Dashboard slicers.</t>
  </si>
  <si>
    <t>• VisitorLong (hidden) — long-format table tblVisitorLong with one row per (submission × category). Auto-handles new categories.</t>
  </si>
  <si>
    <t>• _Helpers (hidden) — small helper formulas the Top Campus KPI uses.</t>
  </si>
  <si>
    <t>• _PivotHost (hidden, added by post-build) — owns the slicer-source pivot.</t>
  </si>
  <si>
    <t>Power Query setup — three queries</t>
  </si>
  <si>
    <t>On first use, after saving this template into OneDrive:</t>
  </si>
  <si>
    <t>(1) Visitor query — Data → Get Data → From File → From Workbook → pick your Visitor responses .xlsx → Sheet1 → Close &amp; Load To... → Existing worksheet → A1 of Visitor sheet → click Replace when Excel asks → table named tblVisitor.</t>
  </si>
  <si>
    <t>(2) Outreach query — same as Visitor, but pick your Outreach responses .xlsx and load to A1 of Outreach sheet → table named tblOutreach.</t>
  </si>
  <si>
    <t>(3) VisitorLong query — Right-click the Visitor query in the Queries &amp; Connections panel → Reference. New query opens. Rename to VisitorLong. Select the 24 category columns (Wayfinding through Others; NOT Others (Inquiry)). Right-click selected → Unpivot Columns. Rename Attribute → Category and Value → Count. Close &amp; Load To... → Existing worksheet → A1 of VisitorLong sheet (it's hidden — unhide briefly via right-click any tab → Unhide → VisitorLong). Replace tblVisitorLong when prompted. Re-hide.</t>
  </si>
  <si>
    <t>(4) Set all 3 queries to refresh on open + every 5 minutes: Data → Queries &amp; Connections → right-click each query → Properties → tick both checkboxes.</t>
  </si>
  <si>
    <t>Why this is future-proof</t>
  </si>
  <si>
    <t>• Adding a new category in Forms (e.g., 'Voter Registration'): Power Query loads it as a new column on tblVisitor. The next refresh of the VisitorLong query auto-includes it via Unpivot Columns. The Top Categories chart and Inquiries Logged KPI both pull from tblVisitorLong, so the new category appears with zero formula edits.</t>
  </si>
  <si>
    <t>• Renaming a question in Forms: Power Query throws on next refresh because it expects the old column name. Edit the query → 'Renamed Columns' step → update the mapping. ~30 seconds.</t>
  </si>
  <si>
    <t>• Adding a new campus: appears automatically in slicers and pivots. Update the helper table on _Helpers (rows 4-7) for the Top Campus KPI.</t>
  </si>
  <si>
    <t>If something looks broken</t>
  </si>
  <si>
    <t>• KPI shows #REF! → a column reference is broken. Click the cell to see which column it's looking for, then check that column exists in your data with that exact name.</t>
  </si>
  <si>
    <t>• Heatmap is all zeros even with data → the Time block question wording must START with 'Morning' / 'Afternoon' / 'Evening'. Heatmap formulas use wildcard matching to be resilient, but if your Time block options start with different words, update the heatmap formulas on Dashboard rows 9-12.</t>
  </si>
  <si>
    <t>• Slicers don't filter the Top Categories or Outreach charts → expected. Those charts source from different tables (tblVisitorLong, tblOutreach), so they always show lifetime totals. The slicers/timeline filter only the heatmap-source pivot and the Reports sheets.</t>
  </si>
  <si>
    <t>Student Engagement Dashboard</t>
  </si>
  <si>
    <t>Lifetime KPIs and heatmap. Slicers/timeline filter the Reports — Weekly / Monthly sheets.</t>
  </si>
  <si>
    <t xml:space="preserve">  KEY METRICS</t>
  </si>
  <si>
    <t>PEOPLE HELPED (VISITOR)</t>
  </si>
  <si>
    <t>INQUIRIES LOGGED</t>
  </si>
  <si>
    <t>TOP CAMPUS BY HEADCOUNT</t>
  </si>
  <si>
    <t>PEOPLE HELPED (OUTREACH)</t>
  </si>
  <si>
    <t>Sum across all categories (auto-includes new ones)</t>
  </si>
  <si>
    <t xml:space="preserve">  ENGAGEMENT HEATMAP — CAMPUS × TIME BLOCK</t>
  </si>
  <si>
    <t>Campus</t>
  </si>
  <si>
    <t>Morning</t>
  </si>
  <si>
    <t>Afternoon</t>
  </si>
  <si>
    <t>Evening</t>
  </si>
  <si>
    <t>Waterloo</t>
  </si>
  <si>
    <t>Doon</t>
  </si>
  <si>
    <t>Reuter</t>
  </si>
  <si>
    <t>Cambridge</t>
  </si>
  <si>
    <t xml:space="preserve">  TOP INQUIRY CATEGORIES — auto-populated from tblVisitorLong</t>
  </si>
  <si>
    <t xml:space="preserve">  OUTREACH THEMES — PEOPLE HELPED</t>
  </si>
  <si>
    <t xml:space="preserve">  OUTREACH REACH BY CAMPUS</t>
  </si>
  <si>
    <t xml:space="preserve">  WHAT'S NEXT</t>
  </si>
  <si>
    <t>1) Connect Power Query (3 queries: Visitor, VisitorLong, Outreach). 2) Run scripts/post-build.py to add slicers + report pivots + charts. 3) Add a Timeline manually after data flows in. See excel-dashboard-build-guide.md.</t>
  </si>
  <si>
    <t>Id</t>
  </si>
  <si>
    <t>Start time</t>
  </si>
  <si>
    <t>Completion time</t>
  </si>
  <si>
    <t>Email</t>
  </si>
  <si>
    <t>Name</t>
  </si>
  <si>
    <t>Time block this submission covers</t>
  </si>
  <si>
    <t>How many people did you help during this time block?</t>
  </si>
  <si>
    <t>Wayfinding</t>
  </si>
  <si>
    <t>OneCard</t>
  </si>
  <si>
    <t>IT Support</t>
  </si>
  <si>
    <t>Bus Pass / Transportation</t>
  </si>
  <si>
    <t>Parking</t>
  </si>
  <si>
    <t>Timetable / Registration Concern</t>
  </si>
  <si>
    <t>Student Fees / Student Financial Services</t>
  </si>
  <si>
    <t>Learning Services / Math Help / Tutors</t>
  </si>
  <si>
    <t>Want to Change Program</t>
  </si>
  <si>
    <t>Connect with Faculty / Program Coordinator / Chair</t>
  </si>
  <si>
    <t>Health Insurance</t>
  </si>
  <si>
    <t>Mental Health Support / Counselling</t>
  </si>
  <si>
    <t>Medical Clinic / Medical Care</t>
  </si>
  <si>
    <t>Housing / Accommodation</t>
  </si>
  <si>
    <t>Job Search / Career Services</t>
  </si>
  <si>
    <t>Immigration / International Student Advising Referral</t>
  </si>
  <si>
    <t>International Transition Services</t>
  </si>
  <si>
    <t>International Admissions - Second Program</t>
  </si>
  <si>
    <t>Library - Tech Loans / TeachMeTech</t>
  </si>
  <si>
    <t>Library - Research / Writing Consultants</t>
  </si>
  <si>
    <t>Library - Academic Integrity</t>
  </si>
  <si>
    <t>CSI - Frosh Kits</t>
  </si>
  <si>
    <t>CSI - Peer Advocates</t>
  </si>
  <si>
    <t>Others</t>
  </si>
  <si>
    <t>Others (Inquiry)</t>
  </si>
  <si>
    <t>Date of outreach activity</t>
  </si>
  <si>
    <t>How many people attended the outreach activity?</t>
  </si>
  <si>
    <t>Outreach Activity</t>
  </si>
  <si>
    <t>Category</t>
  </si>
  <si>
    <t>Count</t>
  </si>
  <si>
    <t>(placeholder)</t>
  </si>
  <si>
    <t>Weekly Report</t>
  </si>
  <si>
    <t>PivotTable below is built by post-build.py. After data loads, right-click any date → Group → tick Days (7) + Months + Years for proper rollup.</t>
  </si>
  <si>
    <t>Monthly Report</t>
  </si>
  <si>
    <t>PivotTable below is built by post-build.py. After data loads, right-click any date → Group → tick Months + Years for proper rollup.</t>
  </si>
  <si>
    <t>CAMPUS TOTALS</t>
  </si>
  <si>
    <t>People helped</t>
  </si>
  <si>
    <t>Row Labels</t>
  </si>
  <si>
    <t>(blank)</t>
  </si>
  <si>
    <t>Grand Total</t>
  </si>
  <si>
    <t>Sum of How many people did you help during this time block?</t>
  </si>
  <si>
    <t>Sum of Count</t>
  </si>
  <si>
    <t>Sum of How many people attended the outreach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</si>
</sst>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hh:mm"/>
    <numFmt numFmtId="166" formatCode="yyyy\-mm\-dd"/>
  </numFmts>
  <fonts count="13" x14ac:knownFonts="1">
    <font>
      <sz val="11"/>
      <color theme="1"/>
      <name val="Calibri"/>
      <family val="2"/>
      <scheme val="minor"/>
    </font>
    <font>
      <b/>
      <sz val="11"/>
      <color rgb="FFFFFFFF"/>
      <name val="Calibri"/>
    </font>
    <font>
      <b/>
      <sz val="11"/>
      <color rgb="FF024C4F"/>
      <name val="Calibri"/>
    </font>
    <font>
      <b/>
      <sz val="20"/>
      <color rgb="FF024C4F"/>
      <name val="Calibri"/>
    </font>
    <font>
      <i/>
      <sz val="10"/>
      <color rgb="FF707070"/>
      <name val="Calibri"/>
    </font>
    <font>
      <b/>
      <sz val="12"/>
      <color rgb="FFFFFFFF"/>
      <name val="Calibri"/>
    </font>
    <font>
      <b/>
      <sz val="9"/>
      <color rgb="FF707070"/>
      <name val="Calibri"/>
    </font>
    <font>
      <b/>
      <sz val="22"/>
      <color rgb="FF024C4F"/>
      <name val="Calibri"/>
    </font>
    <font>
      <b/>
      <sz val="11"/>
      <color rgb="FF242424"/>
      <name val="Calibri"/>
    </font>
    <font>
      <b/>
      <sz val="12"/>
      <color rgb="FF242424"/>
      <name val="Calibri"/>
    </font>
    <font>
      <sz val="11"/>
      <color rgb="FF242424"/>
      <name val="Calibri"/>
    </font>
    <font>
      <b/>
      <sz val="13"/>
      <color rgb="FF036C70"/>
      <name val="Calibri"/>
    </font>
    <font>
      <b/>
      <sz val="18"/>
      <color rgb="FF024C4F"/>
      <name val="Calibri"/>
    </font>
  </fonts>
  <fills count="4">
    <fill>
      <patternFill patternType="none"/>
    </fill>
    <fill>
      <patternFill patternType="gray125"/>
    </fill>
    <fill>
      <patternFill patternType="solid">
        <fgColor rgb="FF036C70"/>
      </patternFill>
    </fill>
    <fill>
      <patternFill patternType="solid">
        <fgColor rgb="FFF7FAFA"/>
      </patternFill>
    </fill>
  </fills>
  <borders count="4">
    <border>
      <left/>
      <right/>
      <top/>
      <bottom/>
      <diagonal/>
    </border>
    <border>
      <left style="thin">
        <color rgb="FFD1D1D1"/>
      </left>
      <right style="thin">
        <color rgb="FFD1D1D1"/>
      </right>
      <top style="thin">
        <color rgb="FFD1D1D1"/>
      </top>
      <bottom style="thin">
        <color rgb="FFD1D1D1"/>
      </bottom>
      <diagonal/>
    </border>
    <border>
      <left/>
      <right/>
      <top style="medium">
        <color rgb="FF036C70"/>
      </top>
      <bottom/>
      <diagonal/>
    </border>
    <border>
      <left/>
      <right/>
      <top style="medium">
        <color rgb="FF036C70"/>
      </top>
      <bottom/>
      <diagonal/>
    </border>
  </borders>
  <cellStyleXfs count="1">
    <xf numFmtId="0" fontId="0" fillId="0" borderId="0"/>
  </cellStyleXfs>
  <cellXfs count="27">
    <xf numFmtId="0" fontId="0" fillId="0" borderId="0" xfId="0"/>
    <xf numFmtId="0" fontId="3" fillId="0" borderId="0" xfId="0" applyFont="1" applyAlignment="1">
      <alignment vertical="top" wrapText="1"/>
    </xf>
    <xf numFmtId="0" fontId="0" fillId="0" borderId="0" xfId="0"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 fillId="2" borderId="0" xfId="0" applyFont="1" applyFill="1" applyAlignment="1">
      <alignment horizontal="center" vertical="center"/>
    </xf>
    <xf numFmtId="0" fontId="8" fillId="3" borderId="0" xfId="0" applyFont="1" applyFill="1" applyAlignment="1">
      <alignment horizontal="left" vertical="center" indent="1"/>
    </xf>
    <xf numFmtId="0" fontId="9" fillId="0" borderId="1" xfId="0" applyFont="1" applyBorder="1" applyAlignment="1">
      <alignment horizontal="center" vertical="center"/>
    </xf>
    <xf numFmtId="0" fontId="1" fillId="2" borderId="1" xfId="0" applyFont="1" applyFill="1" applyBorder="1" applyAlignment="1">
      <alignment horizontal="left" vertical="center"/>
    </xf>
    <xf numFmtId="165" fontId="0" fillId="0" borderId="0" xfId="0" applyNumberFormat="1"/>
    <xf numFmtId="166" fontId="0" fillId="0" borderId="0" xfId="0" applyNumberFormat="1"/>
    <xf numFmtId="0" fontId="12" fillId="0" borderId="0" xfId="0" applyFont="1"/>
    <xf numFmtId="0" fontId="1" fillId="2" borderId="0" xfId="0" applyFont="1" applyFill="1"/>
    <xf numFmtId="0" fontId="4" fillId="3" borderId="0" xfId="0" applyFont="1" applyFill="1" applyAlignment="1">
      <alignment horizontal="left" vertical="top" indent="1"/>
    </xf>
    <xf numFmtId="0" fontId="0" fillId="0" borderId="0" xfId="0"/>
    <xf numFmtId="0" fontId="5" fillId="2" borderId="0" xfId="0" applyFont="1" applyFill="1" applyAlignment="1">
      <alignment horizontal="left" vertical="center" indent="1"/>
    </xf>
    <xf numFmtId="0" fontId="6" fillId="3" borderId="2" xfId="0" applyFont="1" applyFill="1" applyBorder="1" applyAlignment="1">
      <alignment horizontal="left" vertical="center" indent="1"/>
    </xf>
    <xf numFmtId="0" fontId="0" fillId="0" borderId="3" xfId="0" applyBorder="1"/>
    <xf numFmtId="0" fontId="3" fillId="0" borderId="0" xfId="0" applyFont="1"/>
    <xf numFmtId="0" fontId="7" fillId="3" borderId="0" xfId="0" applyFont="1" applyFill="1" applyAlignment="1">
      <alignment horizontal="left" vertical="center" indent="1"/>
    </xf>
    <xf numFmtId="0" fontId="4" fillId="0" borderId="0" xfId="0" applyFont="1"/>
    <xf numFmtId="0" fontId="4" fillId="0" borderId="0" xfId="0" applyFont="1" applyAlignment="1">
      <alignment vertical="top" wrapText="1"/>
    </xf>
    <xf numFmtId="0" fontId="2" fillId="0" borderId="0" xfId="0" applyFont="1"/>
    <xf numFmtId="0" fontId="0" fillId="0" borderId="0" xfId="0" pivotButton="1"/>
    <xf numFmtId="0" fontId="0" fillId="0" borderId="0" xfId="0" applyAlignment="1">
      <alignment horizontal="left"/>
    </xf>
    <xf numFmtId="0"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[student-engagement-dashboard-starter.xlsx]_PivotHost!ptTopCategories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_PivotHost!$E$1</c:f>
              <c:strCache>
                <c:ptCount val="1"/>
                <c:pt idx="0">
                  <c:v>Total</c:v>
                </c:pt>
              </c:strCache>
            </c:strRef>
          </c:tx>
          <c:spPr>
            <a:solidFill>
              <a:schemeClr val="accent1"/>
            </a:solidFill>
            <a:ln>
              <a:noFill/>
            </a:ln>
            <a:effectLst/>
          </c:spPr>
          <c:invertIfNegative val="0"/>
          <c:cat>
            <c:strRef>
              <c:f>_PivotHost!$D$2:$D$3</c:f>
              <c:strCache>
                <c:ptCount val="1"/>
                <c:pt idx="0">
                  <c:v>(placeholder)</c:v>
                </c:pt>
              </c:strCache>
            </c:strRef>
          </c:cat>
          <c:val>
            <c:numRef>
              <c:f>_PivotHost!$E$2:$E$3</c:f>
              <c:numCache>
                <c:formatCode>0</c:formatCode>
                <c:ptCount val="1"/>
                <c:pt idx="0">
                  <c:v>0</c:v>
                </c:pt>
              </c:numCache>
            </c:numRef>
          </c:val>
          <c:extLst>
            <c:ext xmlns:c16="http://schemas.microsoft.com/office/drawing/2014/chart" uri="{C3380CC4-5D6E-409C-BE32-E72D297353CC}">
              <c16:uniqueId val="{0000000B-B30B-4A8A-9296-1D384DB80283}"/>
            </c:ext>
          </c:extLst>
        </c:ser>
        <c:dLbls>
          <c:showLegendKey val="0"/>
          <c:showVal val="0"/>
          <c:showCatName val="0"/>
          <c:showSerName val="0"/>
          <c:showPercent val="0"/>
          <c:showBubbleSize val="0"/>
        </c:dLbls>
        <c:gapWidth val="219"/>
        <c:overlap val="-27"/>
        <c:axId val="972983744"/>
        <c:axId val="972991904"/>
      </c:barChart>
      <c:catAx>
        <c:axId val="97298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91904"/>
        <c:crosses val="autoZero"/>
        <c:auto val="1"/>
        <c:lblAlgn val="ctr"/>
        <c:lblOffset val="100"/>
        <c:noMultiLvlLbl val="0"/>
      </c:catAx>
      <c:valAx>
        <c:axId val="9729919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8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[student-engagement-dashboard-starter.xlsx]_PivotHost!ptOutreachThemes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_PivotHost!$H$1</c:f>
              <c:strCache>
                <c:ptCount val="1"/>
                <c:pt idx="0">
                  <c:v>Total</c:v>
                </c:pt>
              </c:strCache>
            </c:strRef>
          </c:tx>
          <c:spPr>
            <a:solidFill>
              <a:schemeClr val="accent1"/>
            </a:solidFill>
            <a:ln>
              <a:noFill/>
            </a:ln>
            <a:effectLst/>
          </c:spPr>
          <c:invertIfNegative val="0"/>
          <c:cat>
            <c:strRef>
              <c:f>_PivotHost!$G$2:$G$3</c:f>
              <c:strCache>
                <c:ptCount val="1"/>
                <c:pt idx="0">
                  <c:v>(blank)</c:v>
                </c:pt>
              </c:strCache>
            </c:strRef>
          </c:cat>
          <c:val>
            <c:numRef>
              <c:f>_PivotHost!$H$2:$H$3</c:f>
              <c:numCache>
                <c:formatCode>0</c:formatCode>
                <c:ptCount val="1"/>
                <c:pt idx="0">
                  <c:v>0</c:v>
                </c:pt>
              </c:numCache>
            </c:numRef>
          </c:val>
          <c:extLst>
            <c:ext xmlns:c16="http://schemas.microsoft.com/office/drawing/2014/chart" uri="{C3380CC4-5D6E-409C-BE32-E72D297353CC}">
              <c16:uniqueId val="{0000000B-0D59-4E75-BC65-27D4494E809F}"/>
            </c:ext>
          </c:extLst>
        </c:ser>
        <c:dLbls>
          <c:showLegendKey val="0"/>
          <c:showVal val="0"/>
          <c:showCatName val="0"/>
          <c:showSerName val="0"/>
          <c:showPercent val="0"/>
          <c:showBubbleSize val="0"/>
        </c:dLbls>
        <c:gapWidth val="219"/>
        <c:overlap val="-27"/>
        <c:axId val="972990944"/>
        <c:axId val="972982784"/>
      </c:barChart>
      <c:catAx>
        <c:axId val="97299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82784"/>
        <c:crosses val="autoZero"/>
        <c:auto val="1"/>
        <c:lblAlgn val="ctr"/>
        <c:lblOffset val="100"/>
        <c:noMultiLvlLbl val="0"/>
      </c:catAx>
      <c:valAx>
        <c:axId val="9729827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9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[student-engagement-dashboard-starter.xlsx]_PivotHost!ptOutreachByCampus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_PivotHost!$K$1</c:f>
              <c:strCache>
                <c:ptCount val="1"/>
                <c:pt idx="0">
                  <c:v>Total</c:v>
                </c:pt>
              </c:strCache>
            </c:strRef>
          </c:tx>
          <c:spPr>
            <a:solidFill>
              <a:schemeClr val="accent1"/>
            </a:solidFill>
            <a:ln>
              <a:noFill/>
            </a:ln>
            <a:effectLst/>
          </c:spPr>
          <c:invertIfNegative val="0"/>
          <c:cat>
            <c:strRef>
              <c:f>_PivotHost!$J$2:$J$3</c:f>
              <c:strCache>
                <c:ptCount val="1"/>
                <c:pt idx="0">
                  <c:v>(blank)</c:v>
                </c:pt>
              </c:strCache>
            </c:strRef>
          </c:cat>
          <c:val>
            <c:numRef>
              <c:f>_PivotHost!$K$2:$K$3</c:f>
              <c:numCache>
                <c:formatCode>0</c:formatCode>
                <c:ptCount val="1"/>
                <c:pt idx="0">
                  <c:v>0</c:v>
                </c:pt>
              </c:numCache>
            </c:numRef>
          </c:val>
          <c:extLst>
            <c:ext xmlns:c16="http://schemas.microsoft.com/office/drawing/2014/chart" uri="{C3380CC4-5D6E-409C-BE32-E72D297353CC}">
              <c16:uniqueId val="{0000000B-8803-411D-B9B3-319CFC2A5D2C}"/>
            </c:ext>
          </c:extLst>
        </c:ser>
        <c:dLbls>
          <c:showLegendKey val="0"/>
          <c:showVal val="0"/>
          <c:showCatName val="0"/>
          <c:showSerName val="0"/>
          <c:showPercent val="0"/>
          <c:showBubbleSize val="0"/>
        </c:dLbls>
        <c:gapWidth val="219"/>
        <c:overlap val="-27"/>
        <c:axId val="972978944"/>
        <c:axId val="972992864"/>
      </c:barChart>
      <c:catAx>
        <c:axId val="97297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92864"/>
        <c:crosses val="autoZero"/>
        <c:auto val="1"/>
        <c:lblAlgn val="ctr"/>
        <c:lblOffset val="100"/>
        <c:noMultiLvlLbl val="0"/>
      </c:catAx>
      <c:valAx>
        <c:axId val="972992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97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254000</xdr:colOff>
      <xdr:row>0</xdr:row>
      <xdr:rowOff>381000</xdr:rowOff>
    </xdr:from>
    <xdr:to>
      <xdr:col>2</xdr:col>
      <xdr:colOff>508000</xdr:colOff>
      <xdr:row>7</xdr:row>
      <xdr:rowOff>65087</xdr:rowOff>
    </xdr:to>
    <mc:AlternateContent xmlns:mc="http://schemas.openxmlformats.org/markup-compatibility/2006">
      <mc:Choice xmlns:a14="http://schemas.microsoft.com/office/drawing/2010/main" Requires="a14">
        <xdr:graphicFrame macro="">
          <xdr:nvGraphicFramePr>
            <xdr:cNvPr id="2" name="slCampus">
              <a:extLst>
                <a:ext uri="{FF2B5EF4-FFF2-40B4-BE49-F238E27FC236}">
                  <a16:creationId xmlns:a16="http://schemas.microsoft.com/office/drawing/2014/main" id="{D600BEC0-61F6-F70E-A26D-B85C9235F9EB}"/>
                </a:ext>
              </a:extLst>
            </xdr:cNvPr>
            <xdr:cNvGraphicFramePr/>
          </xdr:nvGraphicFramePr>
          <xdr:xfrm>
            <a:off x="0" y="0"/>
            <a:ext cx="0" cy="0"/>
          </xdr:xfrm>
          <a:graphic>
            <a:graphicData uri="http://schemas.microsoft.com/office/drawing/2010/slicer">
              <sle:slicer xmlns:sle="http://schemas.microsoft.com/office/drawing/2010/slicer" name="slCampus"/>
            </a:graphicData>
          </a:graphic>
        </xdr:graphicFrame>
      </mc:Choice>
      <mc:Fallback>
        <xdr:sp macro="" textlink="">
          <xdr:nvSpPr>
            <xdr:cNvPr id="0" name=""/>
            <xdr:cNvSpPr>
              <a:spLocks noTextEdit="1"/>
            </xdr:cNvSpPr>
          </xdr:nvSpPr>
          <xdr:spPr>
            <a:xfrm>
              <a:off x="254000" y="381000"/>
              <a:ext cx="2540000" cy="1651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635000</xdr:colOff>
      <xdr:row>0</xdr:row>
      <xdr:rowOff>381000</xdr:rowOff>
    </xdr:from>
    <xdr:to>
      <xdr:col>5</xdr:col>
      <xdr:colOff>635000</xdr:colOff>
      <xdr:row>7</xdr:row>
      <xdr:rowOff>65087</xdr:rowOff>
    </xdr:to>
    <mc:AlternateContent xmlns:mc="http://schemas.openxmlformats.org/markup-compatibility/2006">
      <mc:Choice xmlns:a14="http://schemas.microsoft.com/office/drawing/2010/main" Requires="a14">
        <xdr:graphicFrame macro="">
          <xdr:nvGraphicFramePr>
            <xdr:cNvPr id="3" name="slTime">
              <a:extLst>
                <a:ext uri="{FF2B5EF4-FFF2-40B4-BE49-F238E27FC236}">
                  <a16:creationId xmlns:a16="http://schemas.microsoft.com/office/drawing/2014/main" id="{9C95D746-F290-0B59-E45C-8E8942C676A9}"/>
                </a:ext>
              </a:extLst>
            </xdr:cNvPr>
            <xdr:cNvGraphicFramePr/>
          </xdr:nvGraphicFramePr>
          <xdr:xfrm>
            <a:off x="0" y="0"/>
            <a:ext cx="0" cy="0"/>
          </xdr:xfrm>
          <a:graphic>
            <a:graphicData uri="http://schemas.microsoft.com/office/drawing/2010/slicer">
              <sle:slicer xmlns:sle="http://schemas.microsoft.com/office/drawing/2010/slicer" name="slTime"/>
            </a:graphicData>
          </a:graphic>
        </xdr:graphicFrame>
      </mc:Choice>
      <mc:Fallback>
        <xdr:sp macro="" textlink="">
          <xdr:nvSpPr>
            <xdr:cNvPr id="0" name=""/>
            <xdr:cNvSpPr>
              <a:spLocks noTextEdit="1"/>
            </xdr:cNvSpPr>
          </xdr:nvSpPr>
          <xdr:spPr>
            <a:xfrm>
              <a:off x="2921000" y="381000"/>
              <a:ext cx="3429000" cy="1651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127000</xdr:colOff>
      <xdr:row>11</xdr:row>
      <xdr:rowOff>223837</xdr:rowOff>
    </xdr:from>
    <xdr:to>
      <xdr:col>7</xdr:col>
      <xdr:colOff>1016000</xdr:colOff>
      <xdr:row>27</xdr:row>
      <xdr:rowOff>109537</xdr:rowOff>
    </xdr:to>
    <xdr:graphicFrame macro="">
      <xdr:nvGraphicFramePr>
        <xdr:cNvPr id="4" name="chTopCategories">
          <a:extLst>
            <a:ext uri="{FF2B5EF4-FFF2-40B4-BE49-F238E27FC236}">
              <a16:creationId xmlns:a16="http://schemas.microsoft.com/office/drawing/2014/main" id="{C2B5FF3B-C1E9-9946-ACC0-C0E1A1EDF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127000</xdr:colOff>
      <xdr:row>29</xdr:row>
      <xdr:rowOff>128587</xdr:rowOff>
    </xdr:from>
    <xdr:to>
      <xdr:col>4</xdr:col>
      <xdr:colOff>0</xdr:colOff>
      <xdr:row>45</xdr:row>
      <xdr:rowOff>185737</xdr:rowOff>
    </xdr:to>
    <xdr:graphicFrame macro="">
      <xdr:nvGraphicFramePr>
        <xdr:cNvPr id="5" name="chOutreachThemes">
          <a:extLst>
            <a:ext uri="{FF2B5EF4-FFF2-40B4-BE49-F238E27FC236}">
              <a16:creationId xmlns:a16="http://schemas.microsoft.com/office/drawing/2014/main" id="{D69364F0-CCEB-3CB5-5E59-87627B001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127000</xdr:colOff>
      <xdr:row>46</xdr:row>
      <xdr:rowOff>163512</xdr:rowOff>
    </xdr:from>
    <xdr:to>
      <xdr:col>7</xdr:col>
      <xdr:colOff>1016000</xdr:colOff>
      <xdr:row>60</xdr:row>
      <xdr:rowOff>169862</xdr:rowOff>
    </xdr:to>
    <xdr:graphicFrame macro="">
      <xdr:nvGraphicFramePr>
        <xdr:cNvPr id="6" name="chOutreachByCampus">
          <a:extLst>
            <a:ext uri="{FF2B5EF4-FFF2-40B4-BE49-F238E27FC236}">
              <a16:creationId xmlns:a16="http://schemas.microsoft.com/office/drawing/2014/main" id="{6800CA24-29A9-963E-E506-F7D706396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briel Elias Gabrie Kattan" refreshedDate="46147.820775231485" createdVersion="8" refreshedVersion="8" minRefreshableVersion="3" recordCount="3" xr:uid="{487A8BB3-6719-4684-A36E-D58B084C6269}">
  <cacheSource type="worksheet">
    <worksheetSource name="tblVisitor"/>
  </cacheSource>
  <cacheFields count="33">
    <cacheField name="Id" numFmtId="0">
      <sharedItems containsSemiMixedTypes="0" containsString="0" containsNumber="1" containsInteger="1" minValue="1" maxValue="3"/>
    </cacheField>
    <cacheField name="Start time" numFmtId="165">
      <sharedItems containsSemiMixedTypes="0" containsNonDate="0" containsDate="1" containsString="0" minDate="2024-01-01T00:00:00" maxDate="2025-01-01T00:00:00"/>
    </cacheField>
    <cacheField name="Completion time" numFmtId="165">
      <sharedItems containsSemiMixedTypes="0" containsNonDate="0" containsDate="1" containsString="0" minDate="2024-01-01T00:00:00" maxDate="2025-01-01T00:00:00" count="3">
        <d v="2024-01-01T00:00:00"/>
        <d v="2024-06-15T00:00:00"/>
        <d v="2024-12-31T00:00:00"/>
      </sharedItems>
    </cacheField>
    <cacheField name="Email" numFmtId="0">
      <sharedItems containsNonDate="0" containsString="0" containsBlank="1"/>
    </cacheField>
    <cacheField name="Name" numFmtId="0">
      <sharedItems containsNonDate="0" containsString="0" containsBlank="1"/>
    </cacheField>
    <cacheField name="Campus" numFmtId="0">
      <sharedItems containsNonDate="0" containsString="0" containsBlank="1" count="1">
        <m/>
      </sharedItems>
    </cacheField>
    <cacheField name="Time block this submission covers" numFmtId="0">
      <sharedItems containsNonDate="0" containsString="0" containsBlank="1" count="1">
        <m/>
      </sharedItems>
    </cacheField>
    <cacheField name="How many people did you help during this time block?" numFmtId="0">
      <sharedItems containsSemiMixedTypes="0" containsString="0" containsNumber="1" containsInteger="1" minValue="0" maxValue="0"/>
    </cacheField>
    <cacheField name="Wayfinding" numFmtId="0">
      <sharedItems containsSemiMixedTypes="0" containsString="0" containsNumber="1" containsInteger="1" minValue="0" maxValue="0"/>
    </cacheField>
    <cacheField name="OneCard" numFmtId="0">
      <sharedItems containsSemiMixedTypes="0" containsString="0" containsNumber="1" containsInteger="1" minValue="0" maxValue="0"/>
    </cacheField>
    <cacheField name="IT Support" numFmtId="0">
      <sharedItems containsSemiMixedTypes="0" containsString="0" containsNumber="1" containsInteger="1" minValue="0" maxValue="0"/>
    </cacheField>
    <cacheField name="Bus Pass / Transportation" numFmtId="0">
      <sharedItems containsSemiMixedTypes="0" containsString="0" containsNumber="1" containsInteger="1" minValue="0" maxValue="0"/>
    </cacheField>
    <cacheField name="Parking" numFmtId="0">
      <sharedItems containsSemiMixedTypes="0" containsString="0" containsNumber="1" containsInteger="1" minValue="0" maxValue="0"/>
    </cacheField>
    <cacheField name="Timetable / Registration Concern" numFmtId="0">
      <sharedItems containsSemiMixedTypes="0" containsString="0" containsNumber="1" containsInteger="1" minValue="0" maxValue="0"/>
    </cacheField>
    <cacheField name="Student Fees / Student Financial Services" numFmtId="0">
      <sharedItems containsSemiMixedTypes="0" containsString="0" containsNumber="1" containsInteger="1" minValue="0" maxValue="0"/>
    </cacheField>
    <cacheField name="Learning Services / Math Help / Tutors" numFmtId="0">
      <sharedItems containsSemiMixedTypes="0" containsString="0" containsNumber="1" containsInteger="1" minValue="0" maxValue="0"/>
    </cacheField>
    <cacheField name="Want to Change Program" numFmtId="0">
      <sharedItems containsSemiMixedTypes="0" containsString="0" containsNumber="1" containsInteger="1" minValue="0" maxValue="0"/>
    </cacheField>
    <cacheField name="Connect with Faculty / Program Coordinator / Chair" numFmtId="0">
      <sharedItems containsSemiMixedTypes="0" containsString="0" containsNumber="1" containsInteger="1" minValue="0" maxValue="0"/>
    </cacheField>
    <cacheField name="Health Insurance" numFmtId="0">
      <sharedItems containsSemiMixedTypes="0" containsString="0" containsNumber="1" containsInteger="1" minValue="0" maxValue="0"/>
    </cacheField>
    <cacheField name="Mental Health Support / Counselling" numFmtId="0">
      <sharedItems containsSemiMixedTypes="0" containsString="0" containsNumber="1" containsInteger="1" minValue="0" maxValue="0"/>
    </cacheField>
    <cacheField name="Medical Clinic / Medical Care" numFmtId="0">
      <sharedItems containsSemiMixedTypes="0" containsString="0" containsNumber="1" containsInteger="1" minValue="0" maxValue="0"/>
    </cacheField>
    <cacheField name="Housing / Accommodation" numFmtId="0">
      <sharedItems containsSemiMixedTypes="0" containsString="0" containsNumber="1" containsInteger="1" minValue="0" maxValue="0"/>
    </cacheField>
    <cacheField name="Job Search / Career Services" numFmtId="0">
      <sharedItems containsSemiMixedTypes="0" containsString="0" containsNumber="1" containsInteger="1" minValue="0" maxValue="0"/>
    </cacheField>
    <cacheField name="Immigration / International Student Advising Referral" numFmtId="0">
      <sharedItems containsSemiMixedTypes="0" containsString="0" containsNumber="1" containsInteger="1" minValue="0" maxValue="0"/>
    </cacheField>
    <cacheField name="International Transition Services" numFmtId="0">
      <sharedItems containsSemiMixedTypes="0" containsString="0" containsNumber="1" containsInteger="1" minValue="0" maxValue="0"/>
    </cacheField>
    <cacheField name="International Admissions - Second Program" numFmtId="0">
      <sharedItems containsSemiMixedTypes="0" containsString="0" containsNumber="1" containsInteger="1" minValue="0" maxValue="0"/>
    </cacheField>
    <cacheField name="Library - Tech Loans / TeachMeTech" numFmtId="0">
      <sharedItems containsSemiMixedTypes="0" containsString="0" containsNumber="1" containsInteger="1" minValue="0" maxValue="0"/>
    </cacheField>
    <cacheField name="Library - Research / Writing Consultants" numFmtId="0">
      <sharedItems containsSemiMixedTypes="0" containsString="0" containsNumber="1" containsInteger="1" minValue="0" maxValue="0"/>
    </cacheField>
    <cacheField name="Library - Academic Integrity" numFmtId="0">
      <sharedItems containsSemiMixedTypes="0" containsString="0" containsNumber="1" containsInteger="1" minValue="0" maxValue="0"/>
    </cacheField>
    <cacheField name="CSI - Frosh Kits" numFmtId="0">
      <sharedItems containsSemiMixedTypes="0" containsString="0" containsNumber="1" containsInteger="1" minValue="0" maxValue="0"/>
    </cacheField>
    <cacheField name="CSI - Peer Advocates" numFmtId="0">
      <sharedItems containsSemiMixedTypes="0" containsString="0" containsNumber="1" containsInteger="1" minValue="0" maxValue="0"/>
    </cacheField>
    <cacheField name="Others" numFmtId="0">
      <sharedItems containsSemiMixedTypes="0" containsString="0" containsNumber="1" containsInteger="1" minValue="0" maxValue="0"/>
    </cacheField>
    <cacheField name="Others (Inquiry)" numFmtId="0">
      <sharedItems containsNonDate="0" containsString="0" containsBlank="1"/>
    </cacheField>
  </cacheFields>
  <extLst>
    <ext xmlns:x14="http://schemas.microsoft.com/office/spreadsheetml/2009/9/main" uri="{725AE2AE-9491-48be-B2B4-4EB974FC3084}">
      <x14:pivotCacheDefinition pivotCacheId="10836638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briel Elias Gabrie Kattan" refreshedDate="46147.820779166665" createdVersion="8" refreshedVersion="8" minRefreshableVersion="3" recordCount="3" xr:uid="{29FDED5C-D45E-410C-A1AF-024DD98828B8}">
  <cacheSource type="worksheet">
    <worksheetSource name="tblVisitorLong"/>
  </cacheSource>
  <cacheFields count="8">
    <cacheField name="Id" numFmtId="0">
      <sharedItems containsSemiMixedTypes="0" containsString="0" containsNumber="1" containsInteger="1" minValue="1" maxValue="3"/>
    </cacheField>
    <cacheField name="Completion time" numFmtId="165">
      <sharedItems containsSemiMixedTypes="0" containsNonDate="0" containsDate="1" containsString="0" minDate="2024-01-01T00:00:00" maxDate="2025-01-01T00:00:00"/>
    </cacheField>
    <cacheField name="Email" numFmtId="0">
      <sharedItems containsNonDate="0" containsString="0" containsBlank="1"/>
    </cacheField>
    <cacheField name="Name" numFmtId="0">
      <sharedItems containsNonDate="0" containsString="0" containsBlank="1"/>
    </cacheField>
    <cacheField name="Campus" numFmtId="0">
      <sharedItems containsNonDate="0" containsString="0" containsBlank="1"/>
    </cacheField>
    <cacheField name="Time block this submission covers" numFmtId="0">
      <sharedItems containsNonDate="0" containsString="0" containsBlank="1"/>
    </cacheField>
    <cacheField name="Category" numFmtId="0">
      <sharedItems count="1">
        <s v="(placeholder)"/>
      </sharedItems>
    </cacheField>
    <cacheField name="Cou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briel Elias Gabrie Kattan" refreshedDate="46147.820788888886" createdVersion="8" refreshedVersion="8" minRefreshableVersion="3" recordCount="3" xr:uid="{BCDBE610-5152-4118-B353-CCCC8F7BCE83}">
  <cacheSource type="worksheet">
    <worksheetSource name="tblOutreach"/>
  </cacheSource>
  <cacheFields count="9">
    <cacheField name="Id" numFmtId="0">
      <sharedItems containsSemiMixedTypes="0" containsString="0" containsNumber="1" containsInteger="1" minValue="1" maxValue="3"/>
    </cacheField>
    <cacheField name="Start time" numFmtId="165">
      <sharedItems containsSemiMixedTypes="0" containsNonDate="0" containsDate="1" containsString="0" minDate="2024-01-01T00:00:00" maxDate="2025-01-01T00:00:00"/>
    </cacheField>
    <cacheField name="Completion time" numFmtId="165">
      <sharedItems containsSemiMixedTypes="0" containsNonDate="0" containsDate="1" containsString="0" minDate="2024-01-01T00:00:00" maxDate="2025-01-01T00:00:00"/>
    </cacheField>
    <cacheField name="Email" numFmtId="0">
      <sharedItems containsNonDate="0" containsString="0" containsBlank="1"/>
    </cacheField>
    <cacheField name="Name" numFmtId="0">
      <sharedItems containsNonDate="0" containsString="0" containsBlank="1"/>
    </cacheField>
    <cacheField name="Campus" numFmtId="0">
      <sharedItems containsNonDate="0" containsString="0" containsBlank="1" count="1">
        <m/>
      </sharedItems>
    </cacheField>
    <cacheField name="Date of outreach activity" numFmtId="166">
      <sharedItems containsSemiMixedTypes="0" containsNonDate="0" containsDate="1" containsString="0" minDate="2024-01-01T00:00:00" maxDate="2025-01-01T00:00:00"/>
    </cacheField>
    <cacheField name="How many people attended the outreach activity?" numFmtId="0">
      <sharedItems containsSemiMixedTypes="0" containsString="0" containsNumber="1" containsInteger="1" minValue="0" maxValue="0"/>
    </cacheField>
    <cacheField name="Outreach Activity"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n v="1"/>
    <d v="2024-01-01T00:00:00"/>
    <x v="0"/>
    <m/>
    <m/>
    <x v="0"/>
    <x v="0"/>
    <n v="0"/>
    <n v="0"/>
    <n v="0"/>
    <n v="0"/>
    <n v="0"/>
    <n v="0"/>
    <n v="0"/>
    <n v="0"/>
    <n v="0"/>
    <n v="0"/>
    <n v="0"/>
    <n v="0"/>
    <n v="0"/>
    <n v="0"/>
    <n v="0"/>
    <n v="0"/>
    <n v="0"/>
    <n v="0"/>
    <n v="0"/>
    <n v="0"/>
    <n v="0"/>
    <n v="0"/>
    <n v="0"/>
    <n v="0"/>
    <n v="0"/>
    <m/>
  </r>
  <r>
    <n v="2"/>
    <d v="2024-06-15T00:00:00"/>
    <x v="1"/>
    <m/>
    <m/>
    <x v="0"/>
    <x v="0"/>
    <n v="0"/>
    <n v="0"/>
    <n v="0"/>
    <n v="0"/>
    <n v="0"/>
    <n v="0"/>
    <n v="0"/>
    <n v="0"/>
    <n v="0"/>
    <n v="0"/>
    <n v="0"/>
    <n v="0"/>
    <n v="0"/>
    <n v="0"/>
    <n v="0"/>
    <n v="0"/>
    <n v="0"/>
    <n v="0"/>
    <n v="0"/>
    <n v="0"/>
    <n v="0"/>
    <n v="0"/>
    <n v="0"/>
    <n v="0"/>
    <n v="0"/>
    <m/>
  </r>
  <r>
    <n v="3"/>
    <d v="2024-12-31T00:00:00"/>
    <x v="2"/>
    <m/>
    <m/>
    <x v="0"/>
    <x v="0"/>
    <n v="0"/>
    <n v="0"/>
    <n v="0"/>
    <n v="0"/>
    <n v="0"/>
    <n v="0"/>
    <n v="0"/>
    <n v="0"/>
    <n v="0"/>
    <n v="0"/>
    <n v="0"/>
    <n v="0"/>
    <n v="0"/>
    <n v="0"/>
    <n v="0"/>
    <n v="0"/>
    <n v="0"/>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n v="1"/>
    <d v="2024-01-01T00:00:00"/>
    <m/>
    <m/>
    <m/>
    <m/>
    <x v="0"/>
    <n v="0"/>
  </r>
  <r>
    <n v="2"/>
    <d v="2024-06-15T00:00:00"/>
    <m/>
    <m/>
    <m/>
    <m/>
    <x v="0"/>
    <n v="0"/>
  </r>
  <r>
    <n v="3"/>
    <d v="2024-12-31T00:00:00"/>
    <m/>
    <m/>
    <m/>
    <m/>
    <x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n v="1"/>
    <d v="2024-01-01T00:00:00"/>
    <d v="2024-01-01T00:00:00"/>
    <m/>
    <m/>
    <x v="0"/>
    <d v="2024-01-01T00:00:00"/>
    <n v="0"/>
    <x v="0"/>
  </r>
  <r>
    <n v="2"/>
    <d v="2024-06-15T00:00:00"/>
    <d v="2024-06-15T00:00:00"/>
    <m/>
    <m/>
    <x v="0"/>
    <d v="2024-06-15T00:00:00"/>
    <n v="0"/>
    <x v="0"/>
  </r>
  <r>
    <n v="3"/>
    <d v="2024-12-31T00:00:00"/>
    <d v="2024-12-31T00:00:00"/>
    <m/>
    <m/>
    <x v="0"/>
    <d v="2024-12-31T00:00:0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C8CC98-62E0-4963-817E-18A684A81D2E}" name="ptOutreachByCampu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1:K3" firstHeaderRow="1" firstDataRow="1" firstDataCol="1"/>
  <pivotFields count="9">
    <pivotField showAll="0"/>
    <pivotField numFmtId="165" showAll="0"/>
    <pivotField numFmtId="165" showAll="0"/>
    <pivotField showAll="0"/>
    <pivotField showAll="0"/>
    <pivotField axis="axisRow" showAll="0">
      <items count="2">
        <item x="0"/>
        <item t="default"/>
      </items>
    </pivotField>
    <pivotField numFmtId="166" showAll="0"/>
    <pivotField dataField="1" showAll="0"/>
    <pivotField showAll="0"/>
  </pivotFields>
  <rowFields count="1">
    <field x="5"/>
  </rowFields>
  <rowItems count="2">
    <i>
      <x/>
    </i>
    <i t="grand">
      <x/>
    </i>
  </rowItems>
  <colItems count="1">
    <i/>
  </colItems>
  <dataFields count="1">
    <dataField name="Sum of How many people attended the outreach activity?" fld="7"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E51020-C0DC-4E0E-BC9C-98DFD9107402}" name="ptOutreachTheme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H3" firstHeaderRow="1" firstDataRow="1" firstDataCol="1"/>
  <pivotFields count="9">
    <pivotField showAll="0"/>
    <pivotField numFmtId="165" showAll="0"/>
    <pivotField numFmtId="165" showAll="0"/>
    <pivotField showAll="0"/>
    <pivotField showAll="0"/>
    <pivotField showAll="0"/>
    <pivotField numFmtId="166" showAll="0"/>
    <pivotField dataField="1" showAll="0"/>
    <pivotField axis="axisRow" showAll="0">
      <items count="2">
        <item x="0"/>
        <item t="default"/>
      </items>
    </pivotField>
  </pivotFields>
  <rowFields count="1">
    <field x="8"/>
  </rowFields>
  <rowItems count="2">
    <i>
      <x/>
    </i>
    <i t="grand">
      <x/>
    </i>
  </rowItems>
  <colItems count="1">
    <i/>
  </colItems>
  <dataFields count="1">
    <dataField name="Sum of How many people attended the outreach activity?" fld="7"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A0FC79-74EC-462F-8883-BC857E166A82}" name="ptTopCategorie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E3" firstHeaderRow="1" firstDataRow="1" firstDataCol="1"/>
  <pivotFields count="8">
    <pivotField showAll="0"/>
    <pivotField numFmtId="165" showAll="0"/>
    <pivotField showAll="0"/>
    <pivotField showAll="0"/>
    <pivotField showAll="0"/>
    <pivotField showAll="0"/>
    <pivotField axis="axisRow" showAll="0">
      <items count="2">
        <item x="0"/>
        <item t="default"/>
      </items>
    </pivotField>
    <pivotField dataField="1" showAll="0"/>
  </pivotFields>
  <rowFields count="1">
    <field x="6"/>
  </rowFields>
  <rowItems count="2">
    <i>
      <x/>
    </i>
    <i t="grand">
      <x/>
    </i>
  </rowItems>
  <colItems count="1">
    <i/>
  </colItems>
  <dataFields count="1">
    <dataField name="Sum of Count" fld="7"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194E73-8C73-4EA3-BE42-A5387AD0CDAA}" name="ptSlicerHost"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3" firstHeaderRow="1" firstDataRow="1" firstDataCol="1"/>
  <pivotFields count="33">
    <pivotField showAll="0"/>
    <pivotField numFmtId="165" showAll="0"/>
    <pivotField numFmtId="165" showAll="0"/>
    <pivotField showAll="0"/>
    <pivotField showAll="0"/>
    <pivotField axis="axisRow" showAll="0">
      <items count="2">
        <item x="0"/>
        <item t="default"/>
      </items>
    </pivotField>
    <pivotField showAll="0">
      <items count="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
    <i>
      <x/>
    </i>
    <i t="grand">
      <x/>
    </i>
  </rowItems>
  <colItems count="1">
    <i/>
  </colItems>
  <dataFields count="1">
    <dataField name="Sum of How many people did you help during this time block?"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D2BBFF-1ED6-44F6-AF36-6A915727236E}" name="ptWeekly"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0:D15" firstHeaderRow="1" firstDataRow="2" firstDataCol="1"/>
  <pivotFields count="33">
    <pivotField compact="0" outline="0" showAll="0"/>
    <pivotField compact="0" numFmtId="165" outline="0" showAll="0"/>
    <pivotField axis="axisRow" compact="0" numFmtId="165" outline="0" showAll="0">
      <items count="4">
        <item x="0"/>
        <item x="1"/>
        <item x="2"/>
        <item t="default"/>
      </items>
    </pivotField>
    <pivotField compact="0" outline="0" showAll="0"/>
    <pivotField compact="0" outline="0" showAll="0"/>
    <pivotField axis="axisCol" compact="0" outline="0" showAll="0">
      <items count="2">
        <item x="0"/>
        <item t="default"/>
      </items>
    </pivotField>
    <pivotField compact="0" outline="0" showAll="0">
      <items count="2">
        <item x="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t="grand">
      <x/>
    </i>
  </rowItems>
  <colFields count="1">
    <field x="5"/>
  </colFields>
  <colItems count="2">
    <i>
      <x/>
    </i>
    <i t="grand">
      <x/>
    </i>
  </colItems>
  <dataFields count="1">
    <dataField name="Sum of How many people did you help during this time block?"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519812-928F-49FB-9BB8-9A18DC4B6F78}" name="ptMonthly"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0:D15" firstHeaderRow="1" firstDataRow="2" firstDataCol="1"/>
  <pivotFields count="33">
    <pivotField compact="0" outline="0" showAll="0"/>
    <pivotField compact="0" numFmtId="165" outline="0" showAll="0"/>
    <pivotField axis="axisRow" compact="0" numFmtId="165" outline="0" showAll="0">
      <items count="4">
        <item x="0"/>
        <item x="1"/>
        <item x="2"/>
        <item t="default"/>
      </items>
    </pivotField>
    <pivotField compact="0" outline="0" showAll="0"/>
    <pivotField compact="0" outline="0" showAll="0"/>
    <pivotField axis="axisCol" compact="0" outline="0" showAll="0">
      <items count="2">
        <item x="0"/>
        <item t="default"/>
      </items>
    </pivotField>
    <pivotField compact="0" outline="0" showAll="0">
      <items count="2">
        <item x="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t="grand">
      <x/>
    </i>
  </rowItems>
  <colFields count="1">
    <field x="5"/>
  </colFields>
  <colItems count="2">
    <i>
      <x/>
    </i>
    <i t="grand">
      <x/>
    </i>
  </colItems>
  <dataFields count="1">
    <dataField name="Sum of How many people did you help during this time block?"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us" xr10:uid="{6FFC4AAF-2EDA-4E74-8ACB-DDEBAB39CD72}" sourceName="Campus">
  <pivotTables>
    <pivotTable tabId="9" name="ptSlicerHost"/>
    <pivotTable tabId="6" name="ptWeekly"/>
    <pivotTable tabId="7" name="ptMonthly"/>
  </pivotTables>
  <data>
    <tabular pivotCacheId="1083663819">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block_this_submission_covers" xr10:uid="{77A5B991-6AC6-45AF-A5F8-03B3853F763F}" sourceName="Time block this submission covers">
  <pivotTables>
    <pivotTable tabId="9" name="ptSlicerHost"/>
    <pivotTable tabId="6" name="ptWeekly"/>
    <pivotTable tabId="7" name="ptMonthly"/>
  </pivotTables>
  <data>
    <tabular pivotCacheId="1083663819">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ampus" xr10:uid="{4E123A26-8547-46FC-89A9-A1181CAB6CB7}" cache="Slicer_Campus" caption="Campus" rowHeight="241300"/>
  <slicer name="slTime" xr10:uid="{E5DBE88E-79C5-4F2E-A7C5-78D757E966C8}" cache="Slicer_Time_block_this_submission_covers" caption="Time block"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Visitor" displayName="tblVisitor" ref="A1:AG4">
  <autoFilter ref="A1:AG4" xr:uid="{00000000-0009-0000-0100-000001000000}"/>
  <tableColumns count="33">
    <tableColumn id="1" xr3:uid="{00000000-0010-0000-0000-000001000000}" name="Id"/>
    <tableColumn id="2" xr3:uid="{00000000-0010-0000-0000-000002000000}" name="Start time"/>
    <tableColumn id="3" xr3:uid="{00000000-0010-0000-0000-000003000000}" name="Completion time"/>
    <tableColumn id="4" xr3:uid="{00000000-0010-0000-0000-000004000000}" name="Email"/>
    <tableColumn id="5" xr3:uid="{00000000-0010-0000-0000-000005000000}" name="Name"/>
    <tableColumn id="6" xr3:uid="{00000000-0010-0000-0000-000006000000}" name="Campus"/>
    <tableColumn id="7" xr3:uid="{00000000-0010-0000-0000-000007000000}" name="Time block this submission covers"/>
    <tableColumn id="8" xr3:uid="{00000000-0010-0000-0000-000008000000}" name="How many people did you help during this time block?"/>
    <tableColumn id="9" xr3:uid="{00000000-0010-0000-0000-000009000000}" name="Wayfinding"/>
    <tableColumn id="10" xr3:uid="{00000000-0010-0000-0000-00000A000000}" name="OneCard"/>
    <tableColumn id="11" xr3:uid="{00000000-0010-0000-0000-00000B000000}" name="IT Support"/>
    <tableColumn id="12" xr3:uid="{00000000-0010-0000-0000-00000C000000}" name="Bus Pass / Transportation"/>
    <tableColumn id="13" xr3:uid="{00000000-0010-0000-0000-00000D000000}" name="Parking"/>
    <tableColumn id="14" xr3:uid="{00000000-0010-0000-0000-00000E000000}" name="Timetable / Registration Concern"/>
    <tableColumn id="15" xr3:uid="{00000000-0010-0000-0000-00000F000000}" name="Student Fees / Student Financial Services"/>
    <tableColumn id="16" xr3:uid="{00000000-0010-0000-0000-000010000000}" name="Learning Services / Math Help / Tutors"/>
    <tableColumn id="17" xr3:uid="{00000000-0010-0000-0000-000011000000}" name="Want to Change Program"/>
    <tableColumn id="18" xr3:uid="{00000000-0010-0000-0000-000012000000}" name="Connect with Faculty / Program Coordinator / Chair"/>
    <tableColumn id="19" xr3:uid="{00000000-0010-0000-0000-000013000000}" name="Health Insurance"/>
    <tableColumn id="20" xr3:uid="{00000000-0010-0000-0000-000014000000}" name="Mental Health Support / Counselling"/>
    <tableColumn id="21" xr3:uid="{00000000-0010-0000-0000-000015000000}" name="Medical Clinic / Medical Care"/>
    <tableColumn id="22" xr3:uid="{00000000-0010-0000-0000-000016000000}" name="Housing / Accommodation"/>
    <tableColumn id="23" xr3:uid="{00000000-0010-0000-0000-000017000000}" name="Job Search / Career Services"/>
    <tableColumn id="24" xr3:uid="{00000000-0010-0000-0000-000018000000}" name="Immigration / International Student Advising Referral"/>
    <tableColumn id="25" xr3:uid="{00000000-0010-0000-0000-000019000000}" name="International Transition Services"/>
    <tableColumn id="26" xr3:uid="{00000000-0010-0000-0000-00001A000000}" name="International Admissions - Second Program"/>
    <tableColumn id="27" xr3:uid="{00000000-0010-0000-0000-00001B000000}" name="Library - Tech Loans / TeachMeTech"/>
    <tableColumn id="28" xr3:uid="{00000000-0010-0000-0000-00001C000000}" name="Library - Research / Writing Consultants"/>
    <tableColumn id="29" xr3:uid="{00000000-0010-0000-0000-00001D000000}" name="Library - Academic Integrity"/>
    <tableColumn id="30" xr3:uid="{00000000-0010-0000-0000-00001E000000}" name="CSI - Frosh Kits"/>
    <tableColumn id="31" xr3:uid="{00000000-0010-0000-0000-00001F000000}" name="CSI - Peer Advocates"/>
    <tableColumn id="32" xr3:uid="{00000000-0010-0000-0000-000020000000}" name="Others"/>
    <tableColumn id="33" xr3:uid="{00000000-0010-0000-0000-000021000000}" name="Others (Inqui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Outreach" displayName="tblOutreach" ref="A1:I4">
  <autoFilter ref="A1:I4" xr:uid="{00000000-0009-0000-0100-000002000000}"/>
  <tableColumns count="9">
    <tableColumn id="1" xr3:uid="{00000000-0010-0000-0100-000001000000}" name="Id"/>
    <tableColumn id="2" xr3:uid="{00000000-0010-0000-0100-000002000000}" name="Start time"/>
    <tableColumn id="3" xr3:uid="{00000000-0010-0000-0100-000003000000}" name="Completion time"/>
    <tableColumn id="4" xr3:uid="{00000000-0010-0000-0100-000004000000}" name="Email"/>
    <tableColumn id="5" xr3:uid="{00000000-0010-0000-0100-000005000000}" name="Name"/>
    <tableColumn id="6" xr3:uid="{00000000-0010-0000-0100-000006000000}" name="Campus"/>
    <tableColumn id="7" xr3:uid="{00000000-0010-0000-0100-000007000000}" name="Date of outreach activity"/>
    <tableColumn id="8" xr3:uid="{00000000-0010-0000-0100-000008000000}" name="How many people attended the outreach activity?"/>
    <tableColumn id="9" xr3:uid="{00000000-0010-0000-0100-000009000000}" name="Outreach Activit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VisitorLong" displayName="tblVisitorLong" ref="A1:H4">
  <autoFilter ref="A1:H4" xr:uid="{00000000-0009-0000-0100-000003000000}"/>
  <tableColumns count="8">
    <tableColumn id="1" xr3:uid="{00000000-0010-0000-0200-000001000000}" name="Id"/>
    <tableColumn id="2" xr3:uid="{00000000-0010-0000-0200-000002000000}" name="Completion time"/>
    <tableColumn id="3" xr3:uid="{00000000-0010-0000-0200-000003000000}" name="Email"/>
    <tableColumn id="4" xr3:uid="{00000000-0010-0000-0200-000004000000}" name="Name"/>
    <tableColumn id="5" xr3:uid="{00000000-0010-0000-0200-000005000000}" name="Campus"/>
    <tableColumn id="6" xr3:uid="{00000000-0010-0000-0200-000006000000}" name="Time block this submission covers"/>
    <tableColumn id="7" xr3:uid="{00000000-0010-0000-0200-000007000000}" name="Category"/>
    <tableColumn id="8" xr3:uid="{00000000-0010-0000-0200-000008000000}"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B1910-138A-4E77-94D7-C0C06EF0F329}">
  <dimension ref="A1:K3"/>
  <sheetViews>
    <sheetView workbookViewId="0"/>
  </sheetViews>
  <sheetFormatPr defaultRowHeight="14.25" x14ac:dyDescent="0.45"/>
  <cols>
    <col min="1" max="1" width="12.06640625" bestFit="1" customWidth="1"/>
    <col min="2" max="2" width="52.19921875" bestFit="1" customWidth="1"/>
    <col min="4" max="4" width="12.06640625" bestFit="1" customWidth="1"/>
    <col min="5" max="5" width="11.796875" bestFit="1" customWidth="1"/>
    <col min="7" max="7" width="12.06640625" bestFit="1" customWidth="1"/>
    <col min="8" max="8" width="48.46484375" bestFit="1" customWidth="1"/>
    <col min="10" max="10" width="12.06640625" bestFit="1" customWidth="1"/>
    <col min="11" max="11" width="48.46484375" bestFit="1" customWidth="1"/>
  </cols>
  <sheetData>
    <row r="1" spans="1:11" x14ac:dyDescent="0.45">
      <c r="A1" s="23" t="s">
        <v>90</v>
      </c>
      <c r="B1" t="s">
        <v>93</v>
      </c>
      <c r="D1" s="23" t="s">
        <v>90</v>
      </c>
      <c r="E1" t="s">
        <v>94</v>
      </c>
      <c r="G1" s="23" t="s">
        <v>90</v>
      </c>
      <c r="H1" t="s">
        <v>95</v>
      </c>
      <c r="J1" s="23" t="s">
        <v>90</v>
      </c>
      <c r="K1" t="s">
        <v>95</v>
      </c>
    </row>
    <row r="2" spans="1:11" x14ac:dyDescent="0.45">
      <c r="A2" s="24" t="s">
        <v>91</v>
      </c>
      <c r="B2" s="25">
        <v>0</v>
      </c>
      <c r="D2" s="24" t="s">
        <v>83</v>
      </c>
      <c r="E2" s="26">
        <v>0</v>
      </c>
      <c r="G2" s="24" t="s">
        <v>91</v>
      </c>
      <c r="H2" s="26">
        <v>0</v>
      </c>
      <c r="J2" s="24" t="s">
        <v>91</v>
      </c>
      <c r="K2" s="26">
        <v>0</v>
      </c>
    </row>
    <row r="3" spans="1:11" x14ac:dyDescent="0.45">
      <c r="A3" s="24" t="s">
        <v>92</v>
      </c>
      <c r="B3" s="25">
        <v>0</v>
      </c>
      <c r="D3" s="24" t="s">
        <v>92</v>
      </c>
      <c r="E3" s="26">
        <v>0</v>
      </c>
      <c r="G3" s="24" t="s">
        <v>92</v>
      </c>
      <c r="H3" s="26">
        <v>0</v>
      </c>
      <c r="J3" s="24" t="s">
        <v>92</v>
      </c>
      <c r="K3" s="2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9"/>
  <sheetViews>
    <sheetView showGridLines="0" tabSelected="1" workbookViewId="0"/>
  </sheetViews>
  <sheetFormatPr defaultRowHeight="14.25" x14ac:dyDescent="0.45"/>
  <cols>
    <col min="1" max="1" width="4" customWidth="1"/>
    <col min="2" max="2" width="100" customWidth="1"/>
  </cols>
  <sheetData>
    <row r="1" spans="2:2" ht="32" customHeight="1" x14ac:dyDescent="0.45">
      <c r="B1" s="1" t="s">
        <v>0</v>
      </c>
    </row>
    <row r="2" spans="2:2" x14ac:dyDescent="0.45">
      <c r="B2" s="2"/>
    </row>
    <row r="3" spans="2:2" ht="44" customHeight="1" x14ac:dyDescent="0.45">
      <c r="B3" s="3" t="s">
        <v>1</v>
      </c>
    </row>
    <row r="4" spans="2:2" x14ac:dyDescent="0.45">
      <c r="B4" s="2"/>
    </row>
    <row r="5" spans="2:2" ht="22.05" customHeight="1" x14ac:dyDescent="0.45">
      <c r="B5" s="4" t="s">
        <v>2</v>
      </c>
    </row>
    <row r="6" spans="2:2" ht="20" customHeight="1" x14ac:dyDescent="0.45">
      <c r="B6" s="3" t="s">
        <v>3</v>
      </c>
    </row>
    <row r="7" spans="2:2" ht="30" customHeight="1" x14ac:dyDescent="0.45">
      <c r="B7" s="3" t="s">
        <v>4</v>
      </c>
    </row>
    <row r="8" spans="2:2" ht="20" customHeight="1" x14ac:dyDescent="0.45">
      <c r="B8" s="3" t="s">
        <v>5</v>
      </c>
    </row>
    <row r="9" spans="2:2" ht="30" customHeight="1" x14ac:dyDescent="0.45">
      <c r="B9" s="3" t="s">
        <v>6</v>
      </c>
    </row>
    <row r="10" spans="2:2" ht="30" customHeight="1" x14ac:dyDescent="0.45">
      <c r="B10" s="3" t="s">
        <v>7</v>
      </c>
    </row>
    <row r="11" spans="2:2" ht="20" customHeight="1" x14ac:dyDescent="0.45">
      <c r="B11" s="3" t="s">
        <v>8</v>
      </c>
    </row>
    <row r="12" spans="2:2" ht="20" customHeight="1" x14ac:dyDescent="0.45">
      <c r="B12" s="3" t="s">
        <v>9</v>
      </c>
    </row>
    <row r="13" spans="2:2" x14ac:dyDescent="0.45">
      <c r="B13" s="2"/>
    </row>
    <row r="14" spans="2:2" ht="22.05" customHeight="1" x14ac:dyDescent="0.45">
      <c r="B14" s="4" t="s">
        <v>10</v>
      </c>
    </row>
    <row r="15" spans="2:2" ht="20" customHeight="1" x14ac:dyDescent="0.45">
      <c r="B15" s="3" t="s">
        <v>11</v>
      </c>
    </row>
    <row r="16" spans="2:2" ht="44" customHeight="1" x14ac:dyDescent="0.45">
      <c r="B16" s="3" t="s">
        <v>12</v>
      </c>
    </row>
    <row r="17" spans="2:2" ht="30" customHeight="1" x14ac:dyDescent="0.45">
      <c r="B17" s="3" t="s">
        <v>13</v>
      </c>
    </row>
    <row r="18" spans="2:2" ht="100.05" customHeight="1" x14ac:dyDescent="0.45">
      <c r="B18" s="3" t="s">
        <v>14</v>
      </c>
    </row>
    <row r="19" spans="2:2" ht="30" customHeight="1" x14ac:dyDescent="0.45">
      <c r="B19" s="3" t="s">
        <v>15</v>
      </c>
    </row>
    <row r="20" spans="2:2" x14ac:dyDescent="0.45">
      <c r="B20" s="2"/>
    </row>
    <row r="21" spans="2:2" ht="22.05" customHeight="1" x14ac:dyDescent="0.45">
      <c r="B21" s="4" t="s">
        <v>16</v>
      </c>
    </row>
    <row r="22" spans="2:2" ht="72" customHeight="1" x14ac:dyDescent="0.45">
      <c r="B22" s="3" t="s">
        <v>17</v>
      </c>
    </row>
    <row r="23" spans="2:2" ht="44" customHeight="1" x14ac:dyDescent="0.45">
      <c r="B23" s="3" t="s">
        <v>18</v>
      </c>
    </row>
    <row r="24" spans="2:2" ht="30" customHeight="1" x14ac:dyDescent="0.45">
      <c r="B24" s="3" t="s">
        <v>19</v>
      </c>
    </row>
    <row r="25" spans="2:2" x14ac:dyDescent="0.45">
      <c r="B25" s="2"/>
    </row>
    <row r="26" spans="2:2" ht="22.05" customHeight="1" x14ac:dyDescent="0.45">
      <c r="B26" s="4" t="s">
        <v>20</v>
      </c>
    </row>
    <row r="27" spans="2:2" ht="44" customHeight="1" x14ac:dyDescent="0.45">
      <c r="B27" s="3" t="s">
        <v>21</v>
      </c>
    </row>
    <row r="28" spans="2:2" ht="58.05" customHeight="1" x14ac:dyDescent="0.45">
      <c r="B28" s="3" t="s">
        <v>22</v>
      </c>
    </row>
    <row r="29" spans="2:2" ht="58.05" customHeight="1" x14ac:dyDescent="0.45">
      <c r="B29" s="3"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5"/>
  <sheetViews>
    <sheetView showGridLines="0" workbookViewId="0"/>
  </sheetViews>
  <sheetFormatPr defaultRowHeight="14.25" x14ac:dyDescent="0.45"/>
  <cols>
    <col min="1" max="12" width="16" customWidth="1"/>
  </cols>
  <sheetData>
    <row r="1" spans="1:12" ht="32" customHeight="1" x14ac:dyDescent="0.75">
      <c r="A1" s="18" t="s">
        <v>24</v>
      </c>
      <c r="B1" s="14"/>
      <c r="C1" s="14"/>
      <c r="D1" s="14"/>
      <c r="E1" s="14"/>
      <c r="F1" s="14"/>
      <c r="G1" s="14"/>
      <c r="H1" s="14"/>
    </row>
    <row r="2" spans="1:12" ht="18" customHeight="1" x14ac:dyDescent="0.45">
      <c r="A2" s="20" t="s">
        <v>25</v>
      </c>
      <c r="B2" s="14"/>
      <c r="C2" s="14"/>
      <c r="D2" s="14"/>
      <c r="E2" s="14"/>
      <c r="F2" s="14"/>
      <c r="G2" s="14"/>
      <c r="H2" s="14"/>
    </row>
    <row r="3" spans="1:12" ht="22.05" customHeight="1" x14ac:dyDescent="0.45">
      <c r="A3" s="15" t="s">
        <v>26</v>
      </c>
      <c r="B3" s="14"/>
      <c r="C3" s="14"/>
      <c r="D3" s="14"/>
      <c r="E3" s="14"/>
      <c r="F3" s="14"/>
      <c r="G3" s="14"/>
      <c r="H3" s="14"/>
    </row>
    <row r="4" spans="1:12" ht="16.05" customHeight="1" x14ac:dyDescent="0.45">
      <c r="A4" s="16" t="s">
        <v>27</v>
      </c>
      <c r="B4" s="17"/>
      <c r="C4" s="17"/>
      <c r="D4" s="16" t="s">
        <v>28</v>
      </c>
      <c r="E4" s="17"/>
      <c r="F4" s="17"/>
      <c r="G4" s="16" t="s">
        <v>29</v>
      </c>
      <c r="H4" s="17"/>
      <c r="I4" s="17"/>
      <c r="J4" s="16" t="s">
        <v>30</v>
      </c>
      <c r="K4" s="17"/>
      <c r="L4" s="17"/>
    </row>
    <row r="5" spans="1:12" ht="30" customHeight="1" x14ac:dyDescent="0.45">
      <c r="A5" s="19">
        <f>IFERROR(SUM(tblVisitor[How many people did you help during this time block?]),0)</f>
        <v>0</v>
      </c>
      <c r="B5" s="14"/>
      <c r="C5" s="14"/>
      <c r="D5" s="19">
        <f>IFERROR(SUM(tblVisitorLong[Count]),0)</f>
        <v>0</v>
      </c>
      <c r="E5" s="14"/>
      <c r="F5" s="14"/>
      <c r="G5" s="19" t="str">
        <f>IFERROR(INDEX(_Helpers!A4:A7,MATCH(MAX(_Helpers!B4:B7),_Helpers!B4:B7,0)),"—")</f>
        <v>Waterloo</v>
      </c>
      <c r="H5" s="14"/>
      <c r="I5" s="14"/>
      <c r="J5" s="19">
        <f>IFERROR(SUM(tblOutreach[How many people attended the outreach activity?]),0)</f>
        <v>0</v>
      </c>
      <c r="K5" s="14"/>
      <c r="L5" s="14"/>
    </row>
    <row r="6" spans="1:12" ht="16.05" customHeight="1" x14ac:dyDescent="0.45">
      <c r="A6" s="13" t="str">
        <f>IFERROR(ROWS(tblVisitor[Id])&amp;" submissions","No data yet")</f>
        <v>3 submissions</v>
      </c>
      <c r="B6" s="14"/>
      <c r="C6" s="14"/>
      <c r="D6" s="13" t="s">
        <v>31</v>
      </c>
      <c r="E6" s="14"/>
      <c r="F6" s="14"/>
      <c r="G6" s="13" t="str">
        <f>IFERROR(MAX(_Helpers!B4:B7)&amp;" people helped","")</f>
        <v>0 people helped</v>
      </c>
      <c r="H6" s="14"/>
      <c r="I6" s="14"/>
      <c r="J6" s="13" t="str">
        <f>IFERROR(ROWS(tblOutreach[Id])&amp;" outreach entries","")</f>
        <v>3 outreach entries</v>
      </c>
      <c r="K6" s="14"/>
      <c r="L6" s="14"/>
    </row>
    <row r="7" spans="1:12" ht="22.05" customHeight="1" x14ac:dyDescent="0.45">
      <c r="A7" s="15" t="s">
        <v>32</v>
      </c>
      <c r="B7" s="14"/>
      <c r="C7" s="14"/>
      <c r="D7" s="14"/>
      <c r="E7" s="14"/>
      <c r="F7" s="14"/>
      <c r="G7" s="14"/>
      <c r="H7" s="14"/>
    </row>
    <row r="8" spans="1:12" x14ac:dyDescent="0.45">
      <c r="A8" s="5" t="s">
        <v>33</v>
      </c>
      <c r="B8" s="5" t="s">
        <v>34</v>
      </c>
      <c r="C8" s="5" t="s">
        <v>35</v>
      </c>
      <c r="D8" s="5" t="s">
        <v>36</v>
      </c>
    </row>
    <row r="9" spans="1:12" ht="28.05" customHeight="1" x14ac:dyDescent="0.45">
      <c r="A9" s="6" t="s">
        <v>37</v>
      </c>
      <c r="B9" s="7">
        <f>IFERROR(SUMIFS(tblVisitor[How many people did you help during this time block?],tblVisitor[Campus],"Waterloo",tblVisitor[Time block this submission covers],"Morning*"),0)</f>
        <v>0</v>
      </c>
      <c r="C9" s="7">
        <f>IFERROR(SUMIFS(tblVisitor[How many people did you help during this time block?],tblVisitor[Campus],"Waterloo",tblVisitor[Time block this submission covers],"Afternoon*"),0)</f>
        <v>0</v>
      </c>
      <c r="D9" s="7">
        <f>IFERROR(SUMIFS(tblVisitor[How many people did you help during this time block?],tblVisitor[Campus],"Waterloo",tblVisitor[Time block this submission covers],"Evening*"),0)</f>
        <v>0</v>
      </c>
    </row>
    <row r="10" spans="1:12" ht="28.05" customHeight="1" x14ac:dyDescent="0.45">
      <c r="A10" s="6" t="s">
        <v>38</v>
      </c>
      <c r="B10" s="7">
        <f>IFERROR(SUMIFS(tblVisitor[How many people did you help during this time block?],tblVisitor[Campus],"Doon",tblVisitor[Time block this submission covers],"Morning*"),0)</f>
        <v>0</v>
      </c>
      <c r="C10" s="7">
        <f>IFERROR(SUMIFS(tblVisitor[How many people did you help during this time block?],tblVisitor[Campus],"Doon",tblVisitor[Time block this submission covers],"Afternoon*"),0)</f>
        <v>0</v>
      </c>
      <c r="D10" s="7">
        <f>IFERROR(SUMIFS(tblVisitor[How many people did you help during this time block?],tblVisitor[Campus],"Doon",tblVisitor[Time block this submission covers],"Evening*"),0)</f>
        <v>0</v>
      </c>
    </row>
    <row r="11" spans="1:12" ht="28.05" customHeight="1" x14ac:dyDescent="0.45">
      <c r="A11" s="6" t="s">
        <v>39</v>
      </c>
      <c r="B11" s="7">
        <f>IFERROR(SUMIFS(tblVisitor[How many people did you help during this time block?],tblVisitor[Campus],"Reuter",tblVisitor[Time block this submission covers],"Morning*"),0)</f>
        <v>0</v>
      </c>
      <c r="C11" s="7">
        <f>IFERROR(SUMIFS(tblVisitor[How many people did you help during this time block?],tblVisitor[Campus],"Reuter",tblVisitor[Time block this submission covers],"Afternoon*"),0)</f>
        <v>0</v>
      </c>
      <c r="D11" s="7">
        <f>IFERROR(SUMIFS(tblVisitor[How many people did you help during this time block?],tblVisitor[Campus],"Reuter",tblVisitor[Time block this submission covers],"Evening*"),0)</f>
        <v>0</v>
      </c>
    </row>
    <row r="12" spans="1:12" ht="28.05" customHeight="1" x14ac:dyDescent="0.45">
      <c r="A12" s="6" t="s">
        <v>40</v>
      </c>
      <c r="B12" s="7">
        <f>IFERROR(SUMIFS(tblVisitor[How many people did you help during this time block?],tblVisitor[Campus],"Cambridge",tblVisitor[Time block this submission covers],"Morning*"),0)</f>
        <v>0</v>
      </c>
      <c r="C12" s="7">
        <f>IFERROR(SUMIFS(tblVisitor[How many people did you help during this time block?],tblVisitor[Campus],"Cambridge",tblVisitor[Time block this submission covers],"Afternoon*"),0)</f>
        <v>0</v>
      </c>
      <c r="D12" s="7">
        <f>IFERROR(SUMIFS(tblVisitor[How many people did you help during this time block?],tblVisitor[Campus],"Cambridge",tblVisitor[Time block this submission covers],"Evening*"),0)</f>
        <v>0</v>
      </c>
    </row>
    <row r="14" spans="1:12" ht="22.05" customHeight="1" x14ac:dyDescent="0.45">
      <c r="A14" s="15" t="s">
        <v>41</v>
      </c>
      <c r="B14" s="14"/>
      <c r="C14" s="14"/>
      <c r="D14" s="14"/>
      <c r="E14" s="14"/>
      <c r="F14" s="14"/>
      <c r="G14" s="14"/>
      <c r="H14" s="14"/>
    </row>
    <row r="30" spans="1:8" ht="22.05" customHeight="1" x14ac:dyDescent="0.45">
      <c r="A30" s="15" t="s">
        <v>42</v>
      </c>
      <c r="B30" s="14"/>
      <c r="C30" s="14"/>
      <c r="D30" s="14"/>
      <c r="E30" s="14"/>
      <c r="F30" s="14"/>
      <c r="G30" s="14"/>
      <c r="H30" s="14"/>
    </row>
    <row r="46" spans="1:8" ht="22.05" customHeight="1" x14ac:dyDescent="0.45">
      <c r="A46" s="15" t="s">
        <v>43</v>
      </c>
      <c r="B46" s="14"/>
      <c r="C46" s="14"/>
      <c r="D46" s="14"/>
      <c r="E46" s="14"/>
      <c r="F46" s="14"/>
      <c r="G46" s="14"/>
      <c r="H46" s="14"/>
    </row>
    <row r="62" spans="1:8" ht="22.05" customHeight="1" x14ac:dyDescent="0.45">
      <c r="A62" s="15" t="s">
        <v>44</v>
      </c>
      <c r="B62" s="14"/>
      <c r="C62" s="14"/>
      <c r="D62" s="14"/>
      <c r="E62" s="14"/>
      <c r="F62" s="14"/>
      <c r="G62" s="14"/>
      <c r="H62" s="14"/>
    </row>
    <row r="63" spans="1:8" ht="60" customHeight="1" x14ac:dyDescent="0.45">
      <c r="A63" s="21" t="s">
        <v>45</v>
      </c>
      <c r="B63" s="14"/>
      <c r="C63" s="14"/>
      <c r="D63" s="14"/>
      <c r="E63" s="14"/>
      <c r="F63" s="14"/>
      <c r="G63" s="14"/>
      <c r="H63" s="14"/>
    </row>
    <row r="64" spans="1:8" x14ac:dyDescent="0.45">
      <c r="A64" s="14"/>
      <c r="B64" s="14"/>
      <c r="C64" s="14"/>
      <c r="D64" s="14"/>
      <c r="E64" s="14"/>
      <c r="F64" s="14"/>
      <c r="G64" s="14"/>
      <c r="H64" s="14"/>
    </row>
    <row r="65" spans="1:8" x14ac:dyDescent="0.45">
      <c r="A65" s="14"/>
      <c r="B65" s="14"/>
      <c r="C65" s="14"/>
      <c r="D65" s="14"/>
      <c r="E65" s="14"/>
      <c r="F65" s="14"/>
      <c r="G65" s="14"/>
      <c r="H65" s="14"/>
    </row>
  </sheetData>
  <mergeCells count="21">
    <mergeCell ref="A62:H62"/>
    <mergeCell ref="A6:C6"/>
    <mergeCell ref="A63:H65"/>
    <mergeCell ref="D6:F6"/>
    <mergeCell ref="A46:H46"/>
    <mergeCell ref="A4:C4"/>
    <mergeCell ref="A3:H3"/>
    <mergeCell ref="D5:F5"/>
    <mergeCell ref="A2:H2"/>
    <mergeCell ref="A14:H14"/>
    <mergeCell ref="J6:L6"/>
    <mergeCell ref="A30:H30"/>
    <mergeCell ref="G6:I6"/>
    <mergeCell ref="J4:L4"/>
    <mergeCell ref="A1:H1"/>
    <mergeCell ref="A5:C5"/>
    <mergeCell ref="G5:I5"/>
    <mergeCell ref="A7:H7"/>
    <mergeCell ref="D4:F4"/>
    <mergeCell ref="G4:I4"/>
    <mergeCell ref="J5:L5"/>
  </mergeCells>
  <conditionalFormatting sqref="B9:D12">
    <cfRule type="colorScale" priority="1">
      <colorScale>
        <cfvo type="num" val="0"/>
        <cfvo type="percentile" val="50"/>
        <cfvo type="max"/>
        <color rgb="FFFFFFFF"/>
        <color rgb="FF5CBAB1"/>
        <color rgb="FF036C70"/>
      </colorScale>
    </cfRule>
  </conditionalFormatting>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4"/>
  <sheetViews>
    <sheetView workbookViewId="0">
      <pane ySplit="1" topLeftCell="A2" activePane="bottomLeft" state="frozen"/>
      <selection pane="bottomLeft"/>
    </sheetView>
  </sheetViews>
  <sheetFormatPr defaultRowHeight="14.25" x14ac:dyDescent="0.45"/>
  <cols>
    <col min="1" max="2" width="14" customWidth="1"/>
    <col min="3" max="3" width="19" customWidth="1"/>
    <col min="4" max="6" width="14" customWidth="1"/>
    <col min="7" max="7" width="37" customWidth="1"/>
    <col min="8" max="8" width="50" customWidth="1"/>
    <col min="9" max="11" width="14" customWidth="1"/>
    <col min="12" max="12" width="29" customWidth="1"/>
    <col min="13" max="13" width="14" customWidth="1"/>
    <col min="14" max="14" width="36" customWidth="1"/>
    <col min="15" max="15" width="45" customWidth="1"/>
    <col min="16" max="16" width="42" customWidth="1"/>
    <col min="17" max="17" width="26" customWidth="1"/>
    <col min="18" max="18" width="50" customWidth="1"/>
    <col min="19" max="19" width="20" customWidth="1"/>
    <col min="20" max="20" width="39" customWidth="1"/>
    <col min="21" max="21" width="33" customWidth="1"/>
    <col min="22" max="22" width="27" customWidth="1"/>
    <col min="23" max="23" width="32" customWidth="1"/>
    <col min="24" max="24" width="50" customWidth="1"/>
    <col min="25" max="25" width="37" customWidth="1"/>
    <col min="26" max="26" width="45" customWidth="1"/>
    <col min="27" max="27" width="38" customWidth="1"/>
    <col min="28" max="28" width="44" customWidth="1"/>
    <col min="29" max="29" width="32" customWidth="1"/>
    <col min="30" max="30" width="20" customWidth="1"/>
    <col min="31" max="31" width="24" customWidth="1"/>
    <col min="32" max="32" width="14" customWidth="1"/>
    <col min="33" max="33" width="20" customWidth="1"/>
  </cols>
  <sheetData>
    <row r="1" spans="1:33" ht="28.05" customHeight="1" x14ac:dyDescent="0.45">
      <c r="A1" s="8" t="s">
        <v>46</v>
      </c>
      <c r="B1" s="8" t="s">
        <v>47</v>
      </c>
      <c r="C1" s="8" t="s">
        <v>48</v>
      </c>
      <c r="D1" s="8" t="s">
        <v>49</v>
      </c>
      <c r="E1" s="8" t="s">
        <v>50</v>
      </c>
      <c r="F1" s="8" t="s">
        <v>33</v>
      </c>
      <c r="G1" s="8" t="s">
        <v>51</v>
      </c>
      <c r="H1" s="8" t="s">
        <v>52</v>
      </c>
      <c r="I1" s="8" t="s">
        <v>53</v>
      </c>
      <c r="J1" s="8" t="s">
        <v>54</v>
      </c>
      <c r="K1" s="8" t="s">
        <v>55</v>
      </c>
      <c r="L1" s="8" t="s">
        <v>56</v>
      </c>
      <c r="M1" s="8" t="s">
        <v>57</v>
      </c>
      <c r="N1" s="8" t="s">
        <v>58</v>
      </c>
      <c r="O1" s="8" t="s">
        <v>59</v>
      </c>
      <c r="P1" s="8" t="s">
        <v>60</v>
      </c>
      <c r="Q1" s="8" t="s">
        <v>61</v>
      </c>
      <c r="R1" s="8" t="s">
        <v>62</v>
      </c>
      <c r="S1" s="8" t="s">
        <v>63</v>
      </c>
      <c r="T1" s="8" t="s">
        <v>64</v>
      </c>
      <c r="U1" s="8" t="s">
        <v>65</v>
      </c>
      <c r="V1" s="8" t="s">
        <v>66</v>
      </c>
      <c r="W1" s="8" t="s">
        <v>67</v>
      </c>
      <c r="X1" s="8" t="s">
        <v>68</v>
      </c>
      <c r="Y1" s="8" t="s">
        <v>69</v>
      </c>
      <c r="Z1" s="8" t="s">
        <v>70</v>
      </c>
      <c r="AA1" s="8" t="s">
        <v>71</v>
      </c>
      <c r="AB1" s="8" t="s">
        <v>72</v>
      </c>
      <c r="AC1" s="8" t="s">
        <v>73</v>
      </c>
      <c r="AD1" s="8" t="s">
        <v>74</v>
      </c>
      <c r="AE1" s="8" t="s">
        <v>75</v>
      </c>
      <c r="AF1" s="8" t="s">
        <v>76</v>
      </c>
      <c r="AG1" s="8" t="s">
        <v>77</v>
      </c>
    </row>
    <row r="2" spans="1:33" x14ac:dyDescent="0.45">
      <c r="A2">
        <v>1</v>
      </c>
      <c r="B2" s="9">
        <v>45292</v>
      </c>
      <c r="C2" s="9">
        <v>45292</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3" x14ac:dyDescent="0.45">
      <c r="A3">
        <v>2</v>
      </c>
      <c r="B3" s="9">
        <v>45458</v>
      </c>
      <c r="C3" s="9">
        <v>45458</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3" x14ac:dyDescent="0.45">
      <c r="A4">
        <v>3</v>
      </c>
      <c r="B4" s="9">
        <v>45657</v>
      </c>
      <c r="C4" s="9">
        <v>45657</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
  <sheetViews>
    <sheetView workbookViewId="0">
      <pane ySplit="1" topLeftCell="A2" activePane="bottomLeft" state="frozen"/>
      <selection pane="bottomLeft"/>
    </sheetView>
  </sheetViews>
  <sheetFormatPr defaultRowHeight="14.25" x14ac:dyDescent="0.45"/>
  <cols>
    <col min="1" max="2" width="14" customWidth="1"/>
    <col min="3" max="3" width="19" customWidth="1"/>
    <col min="4" max="6" width="14" customWidth="1"/>
    <col min="7" max="7" width="29" customWidth="1"/>
    <col min="8" max="8" width="50" customWidth="1"/>
    <col min="9" max="9" width="21" customWidth="1"/>
  </cols>
  <sheetData>
    <row r="1" spans="1:9" ht="28.05" customHeight="1" x14ac:dyDescent="0.45">
      <c r="A1" s="8" t="s">
        <v>46</v>
      </c>
      <c r="B1" s="8" t="s">
        <v>47</v>
      </c>
      <c r="C1" s="8" t="s">
        <v>48</v>
      </c>
      <c r="D1" s="8" t="s">
        <v>49</v>
      </c>
      <c r="E1" s="8" t="s">
        <v>50</v>
      </c>
      <c r="F1" s="8" t="s">
        <v>33</v>
      </c>
      <c r="G1" s="8" t="s">
        <v>78</v>
      </c>
      <c r="H1" s="8" t="s">
        <v>79</v>
      </c>
      <c r="I1" s="8" t="s">
        <v>80</v>
      </c>
    </row>
    <row r="2" spans="1:9" x14ac:dyDescent="0.45">
      <c r="A2">
        <v>1</v>
      </c>
      <c r="B2" s="9">
        <v>45292</v>
      </c>
      <c r="C2" s="9">
        <v>45292</v>
      </c>
      <c r="G2" s="10">
        <v>45292</v>
      </c>
      <c r="H2">
        <v>0</v>
      </c>
    </row>
    <row r="3" spans="1:9" x14ac:dyDescent="0.45">
      <c r="A3">
        <v>2</v>
      </c>
      <c r="B3" s="9">
        <v>45458</v>
      </c>
      <c r="C3" s="9">
        <v>45458</v>
      </c>
      <c r="G3" s="10">
        <v>45458</v>
      </c>
      <c r="H3">
        <v>0</v>
      </c>
    </row>
    <row r="4" spans="1:9" x14ac:dyDescent="0.45">
      <c r="A4">
        <v>3</v>
      </c>
      <c r="B4" s="9">
        <v>45657</v>
      </c>
      <c r="C4" s="9">
        <v>45657</v>
      </c>
      <c r="G4" s="10">
        <v>45657</v>
      </c>
      <c r="H4">
        <v>0</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
  <sheetViews>
    <sheetView workbookViewId="0">
      <pane ySplit="1" topLeftCell="A2" activePane="bottomLeft" state="frozen"/>
      <selection pane="bottomLeft"/>
    </sheetView>
  </sheetViews>
  <sheetFormatPr defaultRowHeight="14.25" x14ac:dyDescent="0.45"/>
  <cols>
    <col min="1" max="1" width="14" customWidth="1"/>
    <col min="2" max="2" width="19" customWidth="1"/>
    <col min="3" max="5" width="14" customWidth="1"/>
    <col min="6" max="6" width="37" customWidth="1"/>
    <col min="7" max="8" width="14" customWidth="1"/>
  </cols>
  <sheetData>
    <row r="1" spans="1:8" ht="28.05" customHeight="1" x14ac:dyDescent="0.45">
      <c r="A1" s="8" t="s">
        <v>46</v>
      </c>
      <c r="B1" s="8" t="s">
        <v>48</v>
      </c>
      <c r="C1" s="8" t="s">
        <v>49</v>
      </c>
      <c r="D1" s="8" t="s">
        <v>50</v>
      </c>
      <c r="E1" s="8" t="s">
        <v>33</v>
      </c>
      <c r="F1" s="8" t="s">
        <v>51</v>
      </c>
      <c r="G1" s="8" t="s">
        <v>81</v>
      </c>
      <c r="H1" s="8" t="s">
        <v>82</v>
      </c>
    </row>
    <row r="2" spans="1:8" x14ac:dyDescent="0.45">
      <c r="A2">
        <v>1</v>
      </c>
      <c r="B2" s="9">
        <v>45292</v>
      </c>
      <c r="G2" t="s">
        <v>83</v>
      </c>
      <c r="H2">
        <v>0</v>
      </c>
    </row>
    <row r="3" spans="1:8" x14ac:dyDescent="0.45">
      <c r="A3">
        <v>2</v>
      </c>
      <c r="B3" s="9">
        <v>45458</v>
      </c>
      <c r="G3" t="s">
        <v>83</v>
      </c>
      <c r="H3">
        <v>0</v>
      </c>
    </row>
    <row r="4" spans="1:8" x14ac:dyDescent="0.45">
      <c r="A4">
        <v>3</v>
      </c>
      <c r="B4" s="9">
        <v>45657</v>
      </c>
      <c r="G4" t="s">
        <v>83</v>
      </c>
      <c r="H4">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15"/>
  <sheetViews>
    <sheetView showGridLines="0" workbookViewId="0"/>
  </sheetViews>
  <sheetFormatPr defaultRowHeight="14.25" x14ac:dyDescent="0.45"/>
  <cols>
    <col min="1" max="1" width="4" customWidth="1"/>
    <col min="2" max="2" width="52.19921875" bestFit="1" customWidth="1"/>
    <col min="3" max="3" width="9.3984375" bestFit="1" customWidth="1"/>
    <col min="4" max="4" width="10.19921875" bestFit="1" customWidth="1"/>
  </cols>
  <sheetData>
    <row r="1" spans="2:8" ht="30" customHeight="1" x14ac:dyDescent="0.7">
      <c r="B1" s="11" t="s">
        <v>84</v>
      </c>
    </row>
    <row r="3" spans="2:8" ht="70.05" customHeight="1" x14ac:dyDescent="0.45">
      <c r="B3" s="21" t="s">
        <v>85</v>
      </c>
      <c r="C3" s="14"/>
      <c r="D3" s="14"/>
      <c r="E3" s="14"/>
      <c r="F3" s="14"/>
      <c r="G3" s="14"/>
      <c r="H3" s="14"/>
    </row>
    <row r="4" spans="2:8" x14ac:dyDescent="0.45">
      <c r="B4" s="14"/>
      <c r="C4" s="14"/>
      <c r="D4" s="14"/>
      <c r="E4" s="14"/>
      <c r="F4" s="14"/>
      <c r="G4" s="14"/>
      <c r="H4" s="14"/>
    </row>
    <row r="5" spans="2:8" x14ac:dyDescent="0.45">
      <c r="B5" s="14"/>
      <c r="C5" s="14"/>
      <c r="D5" s="14"/>
      <c r="E5" s="14"/>
      <c r="F5" s="14"/>
      <c r="G5" s="14"/>
      <c r="H5" s="14"/>
    </row>
    <row r="6" spans="2:8" x14ac:dyDescent="0.45">
      <c r="B6" s="14"/>
      <c r="C6" s="14"/>
      <c r="D6" s="14"/>
      <c r="E6" s="14"/>
      <c r="F6" s="14"/>
      <c r="G6" s="14"/>
      <c r="H6" s="14"/>
    </row>
    <row r="7" spans="2:8" x14ac:dyDescent="0.45">
      <c r="B7" s="14"/>
      <c r="C7" s="14"/>
      <c r="D7" s="14"/>
      <c r="E7" s="14"/>
      <c r="F7" s="14"/>
      <c r="G7" s="14"/>
      <c r="H7" s="14"/>
    </row>
    <row r="10" spans="2:8" x14ac:dyDescent="0.45">
      <c r="B10" s="23" t="s">
        <v>93</v>
      </c>
      <c r="C10" s="23" t="s">
        <v>33</v>
      </c>
    </row>
    <row r="11" spans="2:8" x14ac:dyDescent="0.45">
      <c r="B11" s="23" t="s">
        <v>48</v>
      </c>
      <c r="C11" t="s">
        <v>91</v>
      </c>
      <c r="D11" t="s">
        <v>92</v>
      </c>
    </row>
    <row r="12" spans="2:8" x14ac:dyDescent="0.45">
      <c r="B12" s="9">
        <v>45292</v>
      </c>
      <c r="C12" s="26">
        <v>0</v>
      </c>
      <c r="D12" s="26">
        <v>0</v>
      </c>
    </row>
    <row r="13" spans="2:8" x14ac:dyDescent="0.45">
      <c r="B13" s="9">
        <v>45458</v>
      </c>
      <c r="C13" s="26">
        <v>0</v>
      </c>
      <c r="D13" s="26">
        <v>0</v>
      </c>
    </row>
    <row r="14" spans="2:8" x14ac:dyDescent="0.45">
      <c r="B14" s="9">
        <v>45657</v>
      </c>
      <c r="C14" s="26">
        <v>0</v>
      </c>
      <c r="D14" s="26">
        <v>0</v>
      </c>
    </row>
    <row r="15" spans="2:8" x14ac:dyDescent="0.45">
      <c r="B15" s="9" t="s">
        <v>92</v>
      </c>
      <c r="C15" s="26">
        <v>0</v>
      </c>
      <c r="D15" s="26">
        <v>0</v>
      </c>
    </row>
  </sheetData>
  <mergeCells count="1">
    <mergeCell ref="B3:H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H15"/>
  <sheetViews>
    <sheetView showGridLines="0" workbookViewId="0"/>
  </sheetViews>
  <sheetFormatPr defaultRowHeight="14.25" x14ac:dyDescent="0.45"/>
  <cols>
    <col min="1" max="1" width="4" customWidth="1"/>
    <col min="2" max="2" width="52.19921875" bestFit="1" customWidth="1"/>
    <col min="3" max="3" width="9.3984375" bestFit="1" customWidth="1"/>
    <col min="4" max="4" width="10.19921875" bestFit="1" customWidth="1"/>
  </cols>
  <sheetData>
    <row r="1" spans="2:8" ht="30" customHeight="1" x14ac:dyDescent="0.7">
      <c r="B1" s="11" t="s">
        <v>86</v>
      </c>
    </row>
    <row r="3" spans="2:8" ht="70.05" customHeight="1" x14ac:dyDescent="0.45">
      <c r="B3" s="21" t="s">
        <v>87</v>
      </c>
      <c r="C3" s="14"/>
      <c r="D3" s="14"/>
      <c r="E3" s="14"/>
      <c r="F3" s="14"/>
      <c r="G3" s="14"/>
      <c r="H3" s="14"/>
    </row>
    <row r="4" spans="2:8" x14ac:dyDescent="0.45">
      <c r="B4" s="14"/>
      <c r="C4" s="14"/>
      <c r="D4" s="14"/>
      <c r="E4" s="14"/>
      <c r="F4" s="14"/>
      <c r="G4" s="14"/>
      <c r="H4" s="14"/>
    </row>
    <row r="5" spans="2:8" x14ac:dyDescent="0.45">
      <c r="B5" s="14"/>
      <c r="C5" s="14"/>
      <c r="D5" s="14"/>
      <c r="E5" s="14"/>
      <c r="F5" s="14"/>
      <c r="G5" s="14"/>
      <c r="H5" s="14"/>
    </row>
    <row r="6" spans="2:8" x14ac:dyDescent="0.45">
      <c r="B6" s="14"/>
      <c r="C6" s="14"/>
      <c r="D6" s="14"/>
      <c r="E6" s="14"/>
      <c r="F6" s="14"/>
      <c r="G6" s="14"/>
      <c r="H6" s="14"/>
    </row>
    <row r="7" spans="2:8" x14ac:dyDescent="0.45">
      <c r="B7" s="14"/>
      <c r="C7" s="14"/>
      <c r="D7" s="14"/>
      <c r="E7" s="14"/>
      <c r="F7" s="14"/>
      <c r="G7" s="14"/>
      <c r="H7" s="14"/>
    </row>
    <row r="10" spans="2:8" x14ac:dyDescent="0.45">
      <c r="B10" s="23" t="s">
        <v>93</v>
      </c>
      <c r="C10" s="23" t="s">
        <v>33</v>
      </c>
    </row>
    <row r="11" spans="2:8" x14ac:dyDescent="0.45">
      <c r="B11" s="23" t="s">
        <v>48</v>
      </c>
      <c r="C11" t="s">
        <v>91</v>
      </c>
      <c r="D11" t="s">
        <v>92</v>
      </c>
    </row>
    <row r="12" spans="2:8" x14ac:dyDescent="0.45">
      <c r="B12" s="9">
        <v>45292</v>
      </c>
      <c r="C12" s="26">
        <v>0</v>
      </c>
      <c r="D12" s="26">
        <v>0</v>
      </c>
    </row>
    <row r="13" spans="2:8" x14ac:dyDescent="0.45">
      <c r="B13" s="9">
        <v>45458</v>
      </c>
      <c r="C13" s="26">
        <v>0</v>
      </c>
      <c r="D13" s="26">
        <v>0</v>
      </c>
    </row>
    <row r="14" spans="2:8" x14ac:dyDescent="0.45">
      <c r="B14" s="9">
        <v>45657</v>
      </c>
      <c r="C14" s="26">
        <v>0</v>
      </c>
      <c r="D14" s="26">
        <v>0</v>
      </c>
    </row>
    <row r="15" spans="2:8" x14ac:dyDescent="0.45">
      <c r="B15" s="9" t="s">
        <v>92</v>
      </c>
      <c r="C15" s="26">
        <v>0</v>
      </c>
      <c r="D15" s="26">
        <v>0</v>
      </c>
    </row>
  </sheetData>
  <mergeCells count="1">
    <mergeCell ref="B3:H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
  <sheetViews>
    <sheetView showGridLines="0" workbookViewId="0"/>
  </sheetViews>
  <sheetFormatPr defaultRowHeight="14.25" x14ac:dyDescent="0.45"/>
  <cols>
    <col min="1" max="2" width="24" customWidth="1"/>
  </cols>
  <sheetData>
    <row r="1" spans="1:2" x14ac:dyDescent="0.45">
      <c r="A1" s="22" t="s">
        <v>88</v>
      </c>
      <c r="B1" s="14"/>
    </row>
    <row r="3" spans="1:2" x14ac:dyDescent="0.45">
      <c r="A3" s="12" t="s">
        <v>33</v>
      </c>
      <c r="B3" s="12" t="s">
        <v>89</v>
      </c>
    </row>
    <row r="4" spans="1:2" x14ac:dyDescent="0.45">
      <c r="A4" t="s">
        <v>37</v>
      </c>
      <c r="B4">
        <f>IFERROR(SUMIFS(tblVisitor[How many people did you help during this time block?],tblVisitor[Campus],"Waterloo"),0)</f>
        <v>0</v>
      </c>
    </row>
    <row r="5" spans="1:2" x14ac:dyDescent="0.45">
      <c r="A5" t="s">
        <v>38</v>
      </c>
      <c r="B5">
        <f>IFERROR(SUMIFS(tblVisitor[How many people did you help during this time block?],tblVisitor[Campus],"Doon"),0)</f>
        <v>0</v>
      </c>
    </row>
    <row r="6" spans="1:2" x14ac:dyDescent="0.45">
      <c r="A6" t="s">
        <v>39</v>
      </c>
      <c r="B6">
        <f>IFERROR(SUMIFS(tblVisitor[How many people did you help during this time block?],tblVisitor[Campus],"Reuter"),0)</f>
        <v>0</v>
      </c>
    </row>
    <row r="7" spans="1:2" x14ac:dyDescent="0.45">
      <c r="A7" t="s">
        <v>40</v>
      </c>
      <c r="B7">
        <f>IFERROR(SUMIFS(tblVisitor[How many people did you help during this time block?],tblVisitor[Campus],"Cambridge"),0)</f>
        <v>0</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How to use</vt:lpstr>
      <vt:lpstr>Dashboard</vt:lpstr>
      <vt:lpstr>Visitor</vt:lpstr>
      <vt:lpstr>Outreach</vt:lpstr>
      <vt:lpstr>VisitorLong</vt:lpstr>
      <vt:lpstr>Reports — Weekly</vt:lpstr>
      <vt:lpstr>Reports — Monthly</vt:lpstr>
      <vt:lpstr>_Helpers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 Gabrie Kattan</cp:lastModifiedBy>
  <dcterms:created xsi:type="dcterms:W3CDTF">2026-05-05T23:41:48Z</dcterms:created>
  <dcterms:modified xsi:type="dcterms:W3CDTF">2026-05-05T23:41:56Z</dcterms:modified>
</cp:coreProperties>
</file>