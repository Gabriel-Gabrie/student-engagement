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gabri\Documents\Project Files\Github\student-engagement\templates\"/>
    </mc:Choice>
  </mc:AlternateContent>
  <xr:revisionPtr revIDLastSave="0" documentId="13_ncr:1_{5EDCE47E-A796-4CE6-9BA0-D05A1B1865F3}" xr6:coauthVersionLast="47" xr6:coauthVersionMax="47" xr10:uidLastSave="{00000000-0000-0000-0000-000000000000}"/>
  <bookViews>
    <workbookView xWindow="-98" yWindow="-98" windowWidth="21795" windowHeight="12975" firstSheet="1" activeTab="1" xr2:uid="{00000000-000D-0000-FFFF-FFFF00000000}"/>
  </bookViews>
  <sheets>
    <sheet name="_PivotHost" sheetId="8" state="veryHidden" r:id="rId1"/>
    <sheet name="How to use" sheetId="1" r:id="rId2"/>
    <sheet name="Dashboard" sheetId="2" r:id="rId3"/>
    <sheet name="Visitor" sheetId="3" r:id="rId4"/>
    <sheet name="Outreach" sheetId="4" r:id="rId5"/>
    <sheet name="Reports — Weekly" sheetId="5" r:id="rId6"/>
    <sheet name="Reports — Monthly" sheetId="6" r:id="rId7"/>
    <sheet name="_Helpers" sheetId="7" state="hidden" r:id="rId8"/>
  </sheets>
  <definedNames>
    <definedName name="Slicer_Campus">#N/A</definedName>
    <definedName name="Slicer_Time_block">#N/A</definedName>
  </definedNames>
  <calcPr calcId="191029"/>
  <pivotCaches>
    <pivotCache cacheId="7"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7" i="7" l="1"/>
  <c r="H26" i="7"/>
  <c r="H25" i="7"/>
  <c r="H24" i="7"/>
  <c r="H23" i="7"/>
  <c r="H22" i="7"/>
  <c r="H21" i="7"/>
  <c r="H20" i="7"/>
  <c r="H19" i="7"/>
  <c r="H18" i="7"/>
  <c r="H17" i="7"/>
  <c r="H16" i="7"/>
  <c r="H15" i="7"/>
  <c r="H14" i="7"/>
  <c r="K13" i="7"/>
  <c r="H13" i="7"/>
  <c r="K12" i="7"/>
  <c r="H12" i="7"/>
  <c r="K11" i="7"/>
  <c r="H11" i="7"/>
  <c r="K10" i="7"/>
  <c r="H10" i="7"/>
  <c r="K9" i="7"/>
  <c r="H9" i="7"/>
  <c r="K8" i="7"/>
  <c r="H8" i="7"/>
  <c r="N7" i="7"/>
  <c r="K7" i="7"/>
  <c r="H7" i="7"/>
  <c r="B7" i="7"/>
  <c r="N6" i="7"/>
  <c r="K6" i="7"/>
  <c r="H6" i="7"/>
  <c r="B6" i="7"/>
  <c r="N5" i="7"/>
  <c r="K5" i="7"/>
  <c r="H5" i="7"/>
  <c r="B5" i="7"/>
  <c r="N4" i="7"/>
  <c r="K4" i="7"/>
  <c r="H4" i="7"/>
  <c r="B4" i="7"/>
  <c r="D12" i="2"/>
  <c r="C12" i="2"/>
  <c r="B12" i="2"/>
  <c r="D11" i="2"/>
  <c r="C11" i="2"/>
  <c r="B11" i="2"/>
  <c r="D10" i="2"/>
  <c r="C10" i="2"/>
  <c r="B10" i="2"/>
  <c r="D9" i="2"/>
  <c r="C9" i="2"/>
  <c r="B9" i="2"/>
  <c r="J6" i="2"/>
  <c r="G6" i="2"/>
  <c r="A6" i="2"/>
  <c r="J5" i="2"/>
  <c r="G5" i="2"/>
  <c r="D5" i="2"/>
  <c r="A5" i="2"/>
</calcChain>
</file>

<file path=xl/sharedStrings.xml><?xml version="1.0" encoding="utf-8"?>
<sst xmlns="http://schemas.openxmlformats.org/spreadsheetml/2006/main" count="172" uniqueCount="116">
  <si>
    <t>How to use this workbook</t>
  </si>
  <si>
    <t>This is the Option A+ starter — it's pre-built with the data tables, KPI tiles, heatmap, and three charts. You need to do two things to make it live: connect Power Query to your Forms response files, and (optionally) add slicers / a timeline for interactive filtering.</t>
  </si>
  <si>
    <t>Sheet by sheet</t>
  </si>
  <si>
    <t>• Dashboard — Shannon's main view. KPI tiles, Campus × Time block heatmap, top categories chart, outreach themes chart, outreach by campus chart. All sourced from formulas — no pivots needed.</t>
  </si>
  <si>
    <t>• Visitor — empty data table with all 32 columns matching the Forms export. Power Query will load Forms responses here.</t>
  </si>
  <si>
    <t>• Outreach — empty data table with 10 columns. Same as above, for outreach.</t>
  </si>
  <si>
    <t>• _Helpers — hidden sheet with the small helper tables that drive the charts. Don't delete.</t>
  </si>
  <si>
    <t>Step 1 — Connect Power Query (one-time, ~10 min)</t>
  </si>
  <si>
    <t>Open each form in forms.office.com → Responses → Open in Excel. Microsoft creates an auto-syncing workbook in your OneDrive. Save those files in OneDrive/Student Engagement/Live Data/.</t>
  </si>
  <si>
    <t>Then in this workbook: Data → Get Data → From File → From Workbook → pick the Visitor responses file → Sheet1 → Transform Data. Replace nulls with 0 in the 24 category columns. Close &amp; Load To... → Existing worksheet → cell A1 of the Visitor sheet.</t>
  </si>
  <si>
    <t>Repeat for the Outreach responses file → load into the Outreach sheet.</t>
  </si>
  <si>
    <t>Data → Queries &amp; Connections → right-click each query → Properties → tick 'Refresh data when opening the file' AND 'Refresh every 5 minutes'.</t>
  </si>
  <si>
    <t>That's it. The dashboard now updates within a minute of every new submission.</t>
  </si>
  <si>
    <t>Step 2 — Optional polish</t>
  </si>
  <si>
    <t>Add slicers and a timeline for interactive filtering: Insert a PivotTable on tblVisitor (any pivot, even a hidden one), then Insert → Slicer (tick Campus, Time block) and Insert → Timeline (tick Submitted at). Connect the slicers to all charts via Slicer → Report Connections. The dashboard becomes click-to-filter.</t>
  </si>
  <si>
    <t>Add a daily trend line chart: Insert PivotChart on tblVisitor → Date axis = Submitted at (grouped by days), value = Sum of How many helped. Drop the chart on the Dashboard sheet.</t>
  </si>
  <si>
    <t>Add a section-mix stacked bar: same idea, with Campus on the row axis and a custom Section-bucket column on the column axis.</t>
  </si>
  <si>
    <t>Daily refresh</t>
  </si>
  <si>
    <t>• Open the file. Data refreshes automatically within ~30 seconds.</t>
  </si>
  <si>
    <t>• If you want to force a refresh: Data → Refresh All (or Ctrl+Alt+F5).</t>
  </si>
  <si>
    <t>If something looks broken</t>
  </si>
  <si>
    <t>• KPI shows #REF! → the table reference is broken. Click the cell to see which table/column it's looking for. Most likely the table got renamed; restore tblVisitor / tblOutreach as the table names (Table Design tab).</t>
  </si>
  <si>
    <t>• KPI shows 0 when you expect numbers → check Data → Queries &amp; Connections; the Forms responses file may have moved. Edit the query → fix the source path.</t>
  </si>
  <si>
    <t>• Heatmap is all empty → the Time block question wording must match TIME_BLOCKS exactly: 'Morning (open – 12pm)', 'Afternoon (12 – 4pm)', 'Evening (4pm – close)'. Em-dashes matter; check carefully.</t>
  </si>
  <si>
    <t>Maintenance</t>
  </si>
  <si>
    <t>• Adding a category in Forms → after the next submission, the new column appears in the Forms export. Power Query refresh picks it up. To include it in the 'Inquiries logged' KPI, edit that formula on the Dashboard sheet.</t>
  </si>
  <si>
    <t>• Renaming a Forms question → Power Query will throw on next refresh because it expects the old column name. Edit the query → 'Renamed Columns' step → update the mapping.</t>
  </si>
  <si>
    <t>• Adding a new campus → update the helper table on _Helpers (rows 4-7) and the heatmap rows on the Dashboard.</t>
  </si>
  <si>
    <t>Student Engagement Dashboard</t>
  </si>
  <si>
    <t>Sums every submission in tblVisitor / tblOutreach. Add a date timeline + slicers later for interactive filtering.</t>
  </si>
  <si>
    <t xml:space="preserve">  KEY METRICS</t>
  </si>
  <si>
    <t>PEOPLE HELPED (VISITOR)</t>
  </si>
  <si>
    <t>INQUIRIES LOGGED</t>
  </si>
  <si>
    <t>TOP CAMPUS BY HEADCOUNT</t>
  </si>
  <si>
    <t>PEOPLE HELPED (OUTREACH)</t>
  </si>
  <si>
    <t>Sum across all 24 categories</t>
  </si>
  <si>
    <t xml:space="preserve">  ENGAGEMENT HEATMAP — CAMPUS × TIME BLOCK</t>
  </si>
  <si>
    <t>Campus</t>
  </si>
  <si>
    <t>Morning</t>
  </si>
  <si>
    <t>Afternoon</t>
  </si>
  <si>
    <t>Evening</t>
  </si>
  <si>
    <t>Waterloo</t>
  </si>
  <si>
    <t>Doon</t>
  </si>
  <si>
    <t>Reuter</t>
  </si>
  <si>
    <t>Cambridge</t>
  </si>
  <si>
    <t xml:space="preserve">  TOP INQUIRY CATEGORIES</t>
  </si>
  <si>
    <t>Chart sourced from _Helpers!H column. Sort the helper rows by count desc to manually rank the bars.</t>
  </si>
  <si>
    <t xml:space="preserve">  OUTREACH THEMES — PEOPLE HELPED</t>
  </si>
  <si>
    <t xml:space="preserve">  OUTREACH REACH BY CAMPUS</t>
  </si>
  <si>
    <t xml:space="preserve">  WHAT'S MISSING — ADD MANUALLY IN EXCEL</t>
  </si>
  <si>
    <t>The starter pre-builds: data tables, KPI tiles, heatmap, and 3 charts.</t>
  </si>
  <si>
    <t>Add manually for full interactivity: 1) Power Query connection to your Forms response files (Data → Get Data → From File → From Workbook). 2) Slicers on Campus/Time block (Insert → Slicer, after creating any pivot table). 3) Date Timeline (Insert → Timeline). See excel-dashboard-build-guide.md for the rest.</t>
  </si>
  <si>
    <t>Submission ID</t>
  </si>
  <si>
    <t>Submitted at</t>
  </si>
  <si>
    <t>Name</t>
  </si>
  <si>
    <t>Email</t>
  </si>
  <si>
    <t>Time block</t>
  </si>
  <si>
    <t>How many helped</t>
  </si>
  <si>
    <t>Wayfinding – General</t>
  </si>
  <si>
    <t>OneCard</t>
  </si>
  <si>
    <t>IT Support</t>
  </si>
  <si>
    <t>Bus Pass / Transportation</t>
  </si>
  <si>
    <t>Parking</t>
  </si>
  <si>
    <t>Timetable / Registration Concern</t>
  </si>
  <si>
    <t>Student Fees / Student Financial Services</t>
  </si>
  <si>
    <t>Learning Services / Math Help / Tutors</t>
  </si>
  <si>
    <t>Want to Change Program</t>
  </si>
  <si>
    <t>Connect with Faculty / Program Coordinator / Chair</t>
  </si>
  <si>
    <t>Health Insurance</t>
  </si>
  <si>
    <t>Mental Health Support / Counselling</t>
  </si>
  <si>
    <t>Medical Clinic / Medical Care</t>
  </si>
  <si>
    <t>Housing / Accommodation</t>
  </si>
  <si>
    <t>Job Search / Career Services</t>
  </si>
  <si>
    <t>Immigration / International Student Advising Referral</t>
  </si>
  <si>
    <t>International Transition Services</t>
  </si>
  <si>
    <t>International Admissions – Second Program</t>
  </si>
  <si>
    <t>Library – Tech Loans / TeachMeTech</t>
  </si>
  <si>
    <t>Library – Research / Writing Consultants</t>
  </si>
  <si>
    <t>Library – Academic Integrity</t>
  </si>
  <si>
    <t>CSI – Frosh Kits</t>
  </si>
  <si>
    <t>CSI – Peer Advocates</t>
  </si>
  <si>
    <t>Others</t>
  </si>
  <si>
    <t>Others (Inquiry)</t>
  </si>
  <si>
    <t>Date of activity</t>
  </si>
  <si>
    <t>Outreach Activity</t>
  </si>
  <si>
    <t>Other activity (text)</t>
  </si>
  <si>
    <t>Notes</t>
  </si>
  <si>
    <t>Weekly Report</t>
  </si>
  <si>
    <t>This sheet is a placeholder for the rolled-up report. To build it: Insert a PivotTable on tblVisitor → Rows: Submitted at (right-click → Group → Days × 7 + Months + Years), Campus → Values: Sum of How many helped. Drop slicers for Campus and Time block. Print Layout → Landscape, Page Setup → Print Area = the pivot range. Page → File → Export → PDF.</t>
  </si>
  <si>
    <t>Monthly Report</t>
  </si>
  <si>
    <t>This sheet is a placeholder for the rolled-up report. To build it: Insert a PivotTable on tblVisitor → Rows: Submitted at (right-click → Group → Months + Years), Campus → Values: Sum of How many helped. Drop slicers for Campus and Time block. Print Layout → Landscape, Page Setup → Print Area = the pivot range. Page → File → Export → PDF.</t>
  </si>
  <si>
    <t>CAMPUS TOTALS</t>
  </si>
  <si>
    <t>DAILY TOTALS (helper)</t>
  </si>
  <si>
    <t>CATEGORY TOTALS</t>
  </si>
  <si>
    <t>OUTREACH THEME TOTALS</t>
  </si>
  <si>
    <t>OUTREACH BY CAMPUS</t>
  </si>
  <si>
    <t>People helped</t>
  </si>
  <si>
    <t>Date</t>
  </si>
  <si>
    <t>Category</t>
  </si>
  <si>
    <t>Total inquiries</t>
  </si>
  <si>
    <t>Theme</t>
  </si>
  <si>
    <t>(Build a PivotChart on tblVisitor for the daily trend — too dynamic for a static helper.)</t>
  </si>
  <si>
    <t>Bell Let's Talk</t>
  </si>
  <si>
    <t>Black History Month</t>
  </si>
  <si>
    <t>Campus Welcome Day</t>
  </si>
  <si>
    <t>CCR and SSP Promotion</t>
  </si>
  <si>
    <t>Celebrating Diversity</t>
  </si>
  <si>
    <t>Health and Wellness Outreach</t>
  </si>
  <si>
    <t>International Women's Day</t>
  </si>
  <si>
    <t>Pride Month</t>
  </si>
  <si>
    <t>Sexual Health Week</t>
  </si>
  <si>
    <t>Other</t>
  </si>
  <si>
    <t>Row Labels</t>
  </si>
  <si>
    <t>(blank)</t>
  </si>
  <si>
    <t>Grand Total</t>
  </si>
  <si>
    <t>Sum of How many helped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</si>
</sst>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yyyy\-mm\-dd\ hh:mm"/>
    <numFmt numFmtId="166" formatCode="yyyy\-mm\-dd"/>
  </numFmts>
  <fonts count="13" x14ac:knownFonts="1">
    <font>
      <sz val="11"/>
      <color theme="1"/>
      <name val="Calibri"/>
      <family val="2"/>
      <scheme val="minor"/>
    </font>
    <font>
      <b/>
      <sz val="11"/>
      <color rgb="FFFFFFFF"/>
      <name val="Calibri"/>
    </font>
    <font>
      <b/>
      <sz val="11"/>
      <color rgb="FF024C4F"/>
      <name val="Calibri"/>
    </font>
    <font>
      <i/>
      <sz val="10"/>
      <color rgb="FF707070"/>
      <name val="Calibri"/>
    </font>
    <font>
      <b/>
      <sz val="20"/>
      <color rgb="FF024C4F"/>
      <name val="Calibri"/>
    </font>
    <font>
      <b/>
      <sz val="12"/>
      <color rgb="FFFFFFFF"/>
      <name val="Calibri"/>
    </font>
    <font>
      <b/>
      <sz val="9"/>
      <color rgb="FF707070"/>
      <name val="Calibri"/>
    </font>
    <font>
      <b/>
      <sz val="22"/>
      <color rgb="FF024C4F"/>
      <name val="Calibri"/>
    </font>
    <font>
      <b/>
      <sz val="11"/>
      <color rgb="FF242424"/>
      <name val="Calibri"/>
    </font>
    <font>
      <b/>
      <sz val="12"/>
      <color rgb="FF242424"/>
      <name val="Calibri"/>
    </font>
    <font>
      <sz val="11"/>
      <color rgb="FF242424"/>
      <name val="Calibri"/>
    </font>
    <font>
      <b/>
      <sz val="13"/>
      <color rgb="FF036C70"/>
      <name val="Calibri"/>
    </font>
    <font>
      <b/>
      <sz val="18"/>
      <color rgb="FF024C4F"/>
      <name val="Calibri"/>
    </font>
  </fonts>
  <fills count="4">
    <fill>
      <patternFill patternType="none"/>
    </fill>
    <fill>
      <patternFill patternType="gray125"/>
    </fill>
    <fill>
      <patternFill patternType="solid">
        <fgColor rgb="FF036C70"/>
      </patternFill>
    </fill>
    <fill>
      <patternFill patternType="solid">
        <fgColor rgb="FFF7FAFA"/>
      </patternFill>
    </fill>
  </fills>
  <borders count="4">
    <border>
      <left/>
      <right/>
      <top/>
      <bottom/>
      <diagonal/>
    </border>
    <border>
      <left style="thin">
        <color rgb="FFD1D1D1"/>
      </left>
      <right style="thin">
        <color rgb="FFD1D1D1"/>
      </right>
      <top style="thin">
        <color rgb="FFD1D1D1"/>
      </top>
      <bottom style="thin">
        <color rgb="FFD1D1D1"/>
      </bottom>
      <diagonal/>
    </border>
    <border>
      <left/>
      <right/>
      <top style="medium">
        <color rgb="FF036C70"/>
      </top>
      <bottom/>
      <diagonal/>
    </border>
    <border>
      <left/>
      <right/>
      <top style="medium">
        <color rgb="FF036C70"/>
      </top>
      <bottom/>
      <diagonal/>
    </border>
  </borders>
  <cellStyleXfs count="1">
    <xf numFmtId="0" fontId="0" fillId="0" borderId="0"/>
  </cellStyleXfs>
  <cellXfs count="28">
    <xf numFmtId="0" fontId="0" fillId="0" borderId="0" xfId="0"/>
    <xf numFmtId="0" fontId="4" fillId="0" borderId="0" xfId="0" applyFont="1" applyAlignment="1">
      <alignment vertical="top" wrapText="1"/>
    </xf>
    <xf numFmtId="0" fontId="0" fillId="0" borderId="0" xfId="0" applyAlignment="1">
      <alignment vertical="top" wrapText="1"/>
    </xf>
    <xf numFmtId="0" fontId="10" fillId="0" borderId="0" xfId="0" applyFont="1" applyAlignment="1">
      <alignment vertical="top" wrapText="1"/>
    </xf>
    <xf numFmtId="0" fontId="11" fillId="0" borderId="0" xfId="0" applyFont="1" applyAlignment="1">
      <alignment vertical="top" wrapText="1"/>
    </xf>
    <xf numFmtId="0" fontId="1" fillId="2" borderId="0" xfId="0" applyFont="1" applyFill="1" applyAlignment="1">
      <alignment horizontal="center" vertical="center"/>
    </xf>
    <xf numFmtId="0" fontId="8" fillId="3" borderId="0" xfId="0" applyFont="1" applyFill="1" applyAlignment="1">
      <alignment horizontal="left" vertical="center" indent="1"/>
    </xf>
    <xf numFmtId="0" fontId="9" fillId="0" borderId="1" xfId="0" applyFont="1" applyBorder="1" applyAlignment="1">
      <alignment horizontal="center" vertical="center"/>
    </xf>
    <xf numFmtId="0" fontId="10" fillId="0" borderId="0" xfId="0" applyFont="1"/>
    <xf numFmtId="0" fontId="1" fillId="2" borderId="1" xfId="0" applyFont="1" applyFill="1" applyBorder="1" applyAlignment="1">
      <alignment horizontal="left" vertical="center"/>
    </xf>
    <xf numFmtId="165" fontId="0" fillId="0" borderId="0" xfId="0" applyNumberFormat="1"/>
    <xf numFmtId="166" fontId="0" fillId="0" borderId="0" xfId="0" applyNumberFormat="1"/>
    <xf numFmtId="0" fontId="12" fillId="0" borderId="0" xfId="0" applyFont="1"/>
    <xf numFmtId="0" fontId="1" fillId="2" borderId="0" xfId="0" applyFont="1" applyFill="1"/>
    <xf numFmtId="0" fontId="3" fillId="3" borderId="0" xfId="0" applyFont="1" applyFill="1" applyAlignment="1">
      <alignment horizontal="left" vertical="top" indent="1"/>
    </xf>
    <xf numFmtId="0" fontId="0" fillId="0" borderId="0" xfId="0"/>
    <xf numFmtId="0" fontId="3" fillId="0" borderId="0" xfId="0" applyFont="1"/>
    <xf numFmtId="0" fontId="5" fillId="2" borderId="0" xfId="0" applyFont="1" applyFill="1" applyAlignment="1">
      <alignment horizontal="left" vertical="center" indent="1"/>
    </xf>
    <xf numFmtId="0" fontId="6" fillId="3" borderId="2" xfId="0" applyFont="1" applyFill="1" applyBorder="1" applyAlignment="1">
      <alignment horizontal="left" vertical="center" indent="1"/>
    </xf>
    <xf numFmtId="0" fontId="0" fillId="0" borderId="3" xfId="0" applyBorder="1"/>
    <xf numFmtId="0" fontId="4" fillId="0" borderId="0" xfId="0" applyFont="1"/>
    <xf numFmtId="0" fontId="7" fillId="3" borderId="0" xfId="0" applyFont="1" applyFill="1" applyAlignment="1">
      <alignment horizontal="left" vertical="center" indent="1"/>
    </xf>
    <xf numFmtId="0" fontId="3" fillId="0" borderId="0" xfId="0" applyFont="1" applyAlignment="1">
      <alignment vertical="top" wrapText="1"/>
    </xf>
    <xf numFmtId="0" fontId="2" fillId="0" borderId="0" xfId="0" applyFont="1"/>
    <xf numFmtId="0" fontId="0" fillId="0" borderId="0" xfId="0" pivotButton="1"/>
    <xf numFmtId="0" fontId="0" fillId="0" borderId="0" xfId="0" applyAlignment="1">
      <alignment horizontal="left"/>
    </xf>
    <xf numFmtId="0" fontId="0" fillId="0" borderId="0" xfId="0" applyNumberFormat="1"/>
    <xf numFmtId="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tx>
            <c:strRef>
              <c:f>_Helpers!$H$3</c:f>
              <c:strCache>
                <c:ptCount val="1"/>
                <c:pt idx="0">
                  <c:v>Total inquiries</c:v>
                </c:pt>
              </c:strCache>
            </c:strRef>
          </c:tx>
          <c:spPr>
            <a:ln>
              <a:prstDash val="solid"/>
            </a:ln>
          </c:spPr>
          <c:invertIfNegative val="1"/>
          <c:cat>
            <c:strRef>
              <c:f>_Helpers!$G$4:$G$27</c:f>
              <c:strCache>
                <c:ptCount val="24"/>
                <c:pt idx="0">
                  <c:v>Wayfinding – General</c:v>
                </c:pt>
                <c:pt idx="1">
                  <c:v>OneCard</c:v>
                </c:pt>
                <c:pt idx="2">
                  <c:v>IT Support</c:v>
                </c:pt>
                <c:pt idx="3">
                  <c:v>Bus Pass / Transportation</c:v>
                </c:pt>
                <c:pt idx="4">
                  <c:v>Parking</c:v>
                </c:pt>
                <c:pt idx="5">
                  <c:v>Timetable / Registration Concern</c:v>
                </c:pt>
                <c:pt idx="6">
                  <c:v>Student Fees / Student Financial Services</c:v>
                </c:pt>
                <c:pt idx="7">
                  <c:v>Learning Services / Math Help / Tutors</c:v>
                </c:pt>
                <c:pt idx="8">
                  <c:v>Want to Change Program</c:v>
                </c:pt>
                <c:pt idx="9">
                  <c:v>Connect with Faculty / Program Coordinator / Chair</c:v>
                </c:pt>
                <c:pt idx="10">
                  <c:v>Health Insurance</c:v>
                </c:pt>
                <c:pt idx="11">
                  <c:v>Mental Health Support / Counselling</c:v>
                </c:pt>
                <c:pt idx="12">
                  <c:v>Medical Clinic / Medical Care</c:v>
                </c:pt>
                <c:pt idx="13">
                  <c:v>Housing / Accommodation</c:v>
                </c:pt>
                <c:pt idx="14">
                  <c:v>Job Search / Career Services</c:v>
                </c:pt>
                <c:pt idx="15">
                  <c:v>Immigration / International Student Advising Referral</c:v>
                </c:pt>
                <c:pt idx="16">
                  <c:v>International Transition Services</c:v>
                </c:pt>
                <c:pt idx="17">
                  <c:v>International Admissions – Second Program</c:v>
                </c:pt>
                <c:pt idx="18">
                  <c:v>Library – Tech Loans / TeachMeTech</c:v>
                </c:pt>
                <c:pt idx="19">
                  <c:v>Library – Research / Writing Consultants</c:v>
                </c:pt>
                <c:pt idx="20">
                  <c:v>Library – Academic Integrity</c:v>
                </c:pt>
                <c:pt idx="21">
                  <c:v>CSI – Frosh Kits</c:v>
                </c:pt>
                <c:pt idx="22">
                  <c:v>CSI – Peer Advocates</c:v>
                </c:pt>
                <c:pt idx="23">
                  <c:v>Others</c:v>
                </c:pt>
              </c:strCache>
            </c:strRef>
          </c:cat>
          <c:val>
            <c:numRef>
              <c:f>_Helpers!$H$4:$H$27</c:f>
              <c:numCache>
                <c:formatCode>General</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extLst>
            <c:ext xmlns:c16="http://schemas.microsoft.com/office/drawing/2014/chart" uri="{C3380CC4-5D6E-409C-BE32-E72D297353CC}">
              <c16:uniqueId val="{00000000-BC0A-4B6B-BEB9-6E545B097220}"/>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tx>
            <c:strRef>
              <c:f>_Helpers!$K$3</c:f>
              <c:strCache>
                <c:ptCount val="1"/>
                <c:pt idx="0">
                  <c:v>People helped</c:v>
                </c:pt>
              </c:strCache>
            </c:strRef>
          </c:tx>
          <c:spPr>
            <a:ln>
              <a:prstDash val="solid"/>
            </a:ln>
          </c:spPr>
          <c:invertIfNegative val="1"/>
          <c:cat>
            <c:strRef>
              <c:f>_Helpers!$J$4:$J$13</c:f>
              <c:strCache>
                <c:ptCount val="10"/>
                <c:pt idx="0">
                  <c:v>Bell Let's Talk</c:v>
                </c:pt>
                <c:pt idx="1">
                  <c:v>Black History Month</c:v>
                </c:pt>
                <c:pt idx="2">
                  <c:v>Campus Welcome Day</c:v>
                </c:pt>
                <c:pt idx="3">
                  <c:v>CCR and SSP Promotion</c:v>
                </c:pt>
                <c:pt idx="4">
                  <c:v>Celebrating Diversity</c:v>
                </c:pt>
                <c:pt idx="5">
                  <c:v>Health and Wellness Outreach</c:v>
                </c:pt>
                <c:pt idx="6">
                  <c:v>International Women's Day</c:v>
                </c:pt>
                <c:pt idx="7">
                  <c:v>Pride Month</c:v>
                </c:pt>
                <c:pt idx="8">
                  <c:v>Sexual Health Week</c:v>
                </c:pt>
                <c:pt idx="9">
                  <c:v>Other</c:v>
                </c:pt>
              </c:strCache>
            </c:strRef>
          </c:cat>
          <c:val>
            <c:numRef>
              <c:f>_Helpers!$K$4:$K$13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BCF4-4A10-A4A4-75489EE06753}"/>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col"/>
        <c:grouping val="clustered"/>
        <c:varyColors val="1"/>
        <c:ser>
          <c:idx val="0"/>
          <c:order val="0"/>
          <c:tx>
            <c:strRef>
              <c:f>_Helpers!$N$3</c:f>
              <c:strCache>
                <c:ptCount val="1"/>
                <c:pt idx="0">
                  <c:v>People helped</c:v>
                </c:pt>
              </c:strCache>
            </c:strRef>
          </c:tx>
          <c:spPr>
            <a:ln>
              <a:prstDash val="solid"/>
            </a:ln>
          </c:spPr>
          <c:invertIfNegative val="1"/>
          <c:cat>
            <c:strRef>
              <c:f>_Helpers!$M$4:$M$7</c:f>
              <c:strCache>
                <c:ptCount val="4"/>
                <c:pt idx="0">
                  <c:v>Waterloo</c:v>
                </c:pt>
                <c:pt idx="1">
                  <c:v>Doon</c:v>
                </c:pt>
                <c:pt idx="2">
                  <c:v>Reuter</c:v>
                </c:pt>
                <c:pt idx="3">
                  <c:v>Cambridge</c:v>
                </c:pt>
              </c:strCache>
            </c:strRef>
          </c:cat>
          <c:val>
            <c:numRef>
              <c:f>_Helpers!$N$4:$N$7</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991E-477A-9F79-A7068D049BF2}"/>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15</xdr:row>
      <xdr:rowOff>0</xdr:rowOff>
    </xdr:from>
    <xdr:ext cx="6480000" cy="43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31</xdr:row>
      <xdr:rowOff>0</xdr:rowOff>
    </xdr:from>
    <xdr:ext cx="6480000" cy="396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47</xdr:row>
      <xdr:rowOff>0</xdr:rowOff>
    </xdr:from>
    <xdr:ext cx="6480000" cy="2880000"/>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twoCellAnchor editAs="oneCell">
    <xdr:from>
      <xdr:col>0</xdr:col>
      <xdr:colOff>254000</xdr:colOff>
      <xdr:row>0</xdr:row>
      <xdr:rowOff>381000</xdr:rowOff>
    </xdr:from>
    <xdr:to>
      <xdr:col>2</xdr:col>
      <xdr:colOff>508000</xdr:colOff>
      <xdr:row>7</xdr:row>
      <xdr:rowOff>65087</xdr:rowOff>
    </xdr:to>
    <mc:AlternateContent xmlns:mc="http://schemas.openxmlformats.org/markup-compatibility/2006">
      <mc:Choice xmlns:a14="http://schemas.microsoft.com/office/drawing/2010/main" Requires="a14">
        <xdr:graphicFrame macro="">
          <xdr:nvGraphicFramePr>
            <xdr:cNvPr id="5" name="slCampus">
              <a:extLst>
                <a:ext uri="{FF2B5EF4-FFF2-40B4-BE49-F238E27FC236}">
                  <a16:creationId xmlns:a16="http://schemas.microsoft.com/office/drawing/2014/main" id="{347B9A6D-7EBF-C079-5F35-05CC31613800}"/>
                </a:ext>
              </a:extLst>
            </xdr:cNvPr>
            <xdr:cNvGraphicFramePr/>
          </xdr:nvGraphicFramePr>
          <xdr:xfrm>
            <a:off x="0" y="0"/>
            <a:ext cx="0" cy="0"/>
          </xdr:xfrm>
          <a:graphic>
            <a:graphicData uri="http://schemas.microsoft.com/office/drawing/2010/slicer">
              <sle:slicer xmlns:sle="http://schemas.microsoft.com/office/drawing/2010/slicer" name="slCampus"/>
            </a:graphicData>
          </a:graphic>
        </xdr:graphicFrame>
      </mc:Choice>
      <mc:Fallback>
        <xdr:sp macro="" textlink="">
          <xdr:nvSpPr>
            <xdr:cNvPr id="0" name=""/>
            <xdr:cNvSpPr>
              <a:spLocks noTextEdit="1"/>
            </xdr:cNvSpPr>
          </xdr:nvSpPr>
          <xdr:spPr>
            <a:xfrm>
              <a:off x="254000" y="381000"/>
              <a:ext cx="2540000" cy="165100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635000</xdr:colOff>
      <xdr:row>0</xdr:row>
      <xdr:rowOff>381000</xdr:rowOff>
    </xdr:from>
    <xdr:to>
      <xdr:col>5</xdr:col>
      <xdr:colOff>508000</xdr:colOff>
      <xdr:row>7</xdr:row>
      <xdr:rowOff>65087</xdr:rowOff>
    </xdr:to>
    <mc:AlternateContent xmlns:mc="http://schemas.openxmlformats.org/markup-compatibility/2006">
      <mc:Choice xmlns:a14="http://schemas.microsoft.com/office/drawing/2010/main" Requires="a14">
        <xdr:graphicFrame macro="">
          <xdr:nvGraphicFramePr>
            <xdr:cNvPr id="6" name="slTime">
              <a:extLst>
                <a:ext uri="{FF2B5EF4-FFF2-40B4-BE49-F238E27FC236}">
                  <a16:creationId xmlns:a16="http://schemas.microsoft.com/office/drawing/2014/main" id="{AD78426E-CEB7-C3E2-AD2B-9F8D57D92790}"/>
                </a:ext>
              </a:extLst>
            </xdr:cNvPr>
            <xdr:cNvGraphicFramePr/>
          </xdr:nvGraphicFramePr>
          <xdr:xfrm>
            <a:off x="0" y="0"/>
            <a:ext cx="0" cy="0"/>
          </xdr:xfrm>
          <a:graphic>
            <a:graphicData uri="http://schemas.microsoft.com/office/drawing/2010/slicer">
              <sle:slicer xmlns:sle="http://schemas.microsoft.com/office/drawing/2010/slicer" name="slTime"/>
            </a:graphicData>
          </a:graphic>
        </xdr:graphicFrame>
      </mc:Choice>
      <mc:Fallback>
        <xdr:sp macro="" textlink="">
          <xdr:nvSpPr>
            <xdr:cNvPr id="0" name=""/>
            <xdr:cNvSpPr>
              <a:spLocks noTextEdit="1"/>
            </xdr:cNvSpPr>
          </xdr:nvSpPr>
          <xdr:spPr>
            <a:xfrm>
              <a:off x="2921000" y="381000"/>
              <a:ext cx="3302000" cy="165100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720999652774" createdVersion="8" refreshedVersion="8" minRefreshableVersion="3" recordCount="3" xr:uid="{A24F83AB-48C8-4561-A822-0D979324B70B}">
  <cacheSource type="worksheet">
    <worksheetSource name="tblVisitor"/>
  </cacheSource>
  <cacheFields count="32">
    <cacheField name="Submission ID" numFmtId="0">
      <sharedItems containsNonDate="0" containsString="0" containsBlank="1"/>
    </cacheField>
    <cacheField name="Submitted at" numFmtId="165">
      <sharedItems containsSemiMixedTypes="0" containsNonDate="0" containsDate="1" containsString="0" minDate="2024-01-01T00:00:00" maxDate="2025-01-01T00:00:00" count="3">
        <d v="2024-01-01T00:00:00"/>
        <d v="2024-06-15T00:00:00"/>
        <d v="2024-12-31T00:00:00"/>
      </sharedItems>
    </cacheField>
    <cacheField name="Name" numFmtId="0">
      <sharedItems containsNonDate="0" containsString="0" containsBlank="1"/>
    </cacheField>
    <cacheField name="Email" numFmtId="0">
      <sharedItems containsNonDate="0" containsString="0" containsBlank="1"/>
    </cacheField>
    <cacheField name="Campus" numFmtId="0">
      <sharedItems containsNonDate="0" containsString="0" containsBlank="1" count="1">
        <m/>
      </sharedItems>
    </cacheField>
    <cacheField name="Time block" numFmtId="0">
      <sharedItems containsNonDate="0" containsString="0" containsBlank="1" count="1">
        <m/>
      </sharedItems>
    </cacheField>
    <cacheField name="How many helped" numFmtId="0">
      <sharedItems containsSemiMixedTypes="0" containsString="0" containsNumber="1" containsInteger="1" minValue="0" maxValue="0"/>
    </cacheField>
    <cacheField name="Wayfinding – General" numFmtId="0">
      <sharedItems containsSemiMixedTypes="0" containsString="0" containsNumber="1" containsInteger="1" minValue="0" maxValue="0"/>
    </cacheField>
    <cacheField name="OneCard" numFmtId="0">
      <sharedItems containsSemiMixedTypes="0" containsString="0" containsNumber="1" containsInteger="1" minValue="0" maxValue="0"/>
    </cacheField>
    <cacheField name="IT Support" numFmtId="0">
      <sharedItems containsSemiMixedTypes="0" containsString="0" containsNumber="1" containsInteger="1" minValue="0" maxValue="0"/>
    </cacheField>
    <cacheField name="Bus Pass / Transportation" numFmtId="0">
      <sharedItems containsSemiMixedTypes="0" containsString="0" containsNumber="1" containsInteger="1" minValue="0" maxValue="0"/>
    </cacheField>
    <cacheField name="Parking" numFmtId="0">
      <sharedItems containsSemiMixedTypes="0" containsString="0" containsNumber="1" containsInteger="1" minValue="0" maxValue="0"/>
    </cacheField>
    <cacheField name="Timetable / Registration Concern" numFmtId="0">
      <sharedItems containsSemiMixedTypes="0" containsString="0" containsNumber="1" containsInteger="1" minValue="0" maxValue="0"/>
    </cacheField>
    <cacheField name="Student Fees / Student Financial Services" numFmtId="0">
      <sharedItems containsSemiMixedTypes="0" containsString="0" containsNumber="1" containsInteger="1" minValue="0" maxValue="0"/>
    </cacheField>
    <cacheField name="Learning Services / Math Help / Tutors" numFmtId="0">
      <sharedItems containsSemiMixedTypes="0" containsString="0" containsNumber="1" containsInteger="1" minValue="0" maxValue="0"/>
    </cacheField>
    <cacheField name="Want to Change Program" numFmtId="0">
      <sharedItems containsSemiMixedTypes="0" containsString="0" containsNumber="1" containsInteger="1" minValue="0" maxValue="0"/>
    </cacheField>
    <cacheField name="Connect with Faculty / Program Coordinator / Chair" numFmtId="0">
      <sharedItems containsSemiMixedTypes="0" containsString="0" containsNumber="1" containsInteger="1" minValue="0" maxValue="0"/>
    </cacheField>
    <cacheField name="Health Insurance" numFmtId="0">
      <sharedItems containsSemiMixedTypes="0" containsString="0" containsNumber="1" containsInteger="1" minValue="0" maxValue="0"/>
    </cacheField>
    <cacheField name="Mental Health Support / Counselling" numFmtId="0">
      <sharedItems containsSemiMixedTypes="0" containsString="0" containsNumber="1" containsInteger="1" minValue="0" maxValue="0"/>
    </cacheField>
    <cacheField name="Medical Clinic / Medical Care" numFmtId="0">
      <sharedItems containsSemiMixedTypes="0" containsString="0" containsNumber="1" containsInteger="1" minValue="0" maxValue="0"/>
    </cacheField>
    <cacheField name="Housing / Accommodation" numFmtId="0">
      <sharedItems containsSemiMixedTypes="0" containsString="0" containsNumber="1" containsInteger="1" minValue="0" maxValue="0"/>
    </cacheField>
    <cacheField name="Job Search / Career Services" numFmtId="0">
      <sharedItems containsSemiMixedTypes="0" containsString="0" containsNumber="1" containsInteger="1" minValue="0" maxValue="0"/>
    </cacheField>
    <cacheField name="Immigration / International Student Advising Referral" numFmtId="0">
      <sharedItems containsSemiMixedTypes="0" containsString="0" containsNumber="1" containsInteger="1" minValue="0" maxValue="0"/>
    </cacheField>
    <cacheField name="International Transition Services" numFmtId="0">
      <sharedItems containsSemiMixedTypes="0" containsString="0" containsNumber="1" containsInteger="1" minValue="0" maxValue="0"/>
    </cacheField>
    <cacheField name="International Admissions – Second Program" numFmtId="0">
      <sharedItems containsSemiMixedTypes="0" containsString="0" containsNumber="1" containsInteger="1" minValue="0" maxValue="0"/>
    </cacheField>
    <cacheField name="Library – Tech Loans / TeachMeTech" numFmtId="0">
      <sharedItems containsSemiMixedTypes="0" containsString="0" containsNumber="1" containsInteger="1" minValue="0" maxValue="0"/>
    </cacheField>
    <cacheField name="Library – Research / Writing Consultants" numFmtId="0">
      <sharedItems containsSemiMixedTypes="0" containsString="0" containsNumber="1" containsInteger="1" minValue="0" maxValue="0"/>
    </cacheField>
    <cacheField name="Library – Academic Integrity" numFmtId="0">
      <sharedItems containsSemiMixedTypes="0" containsString="0" containsNumber="1" containsInteger="1" minValue="0" maxValue="0"/>
    </cacheField>
    <cacheField name="CSI – Frosh Kits" numFmtId="0">
      <sharedItems containsSemiMixedTypes="0" containsString="0" containsNumber="1" containsInteger="1" minValue="0" maxValue="0"/>
    </cacheField>
    <cacheField name="CSI – Peer Advocates" numFmtId="0">
      <sharedItems containsSemiMixedTypes="0" containsString="0" containsNumber="1" containsInteger="1" minValue="0" maxValue="0"/>
    </cacheField>
    <cacheField name="Others" numFmtId="0">
      <sharedItems containsSemiMixedTypes="0" containsString="0" containsNumber="1" containsInteger="1" minValue="0" maxValue="0"/>
    </cacheField>
    <cacheField name="Others (Inquiry)" numFmtId="0">
      <sharedItems containsNonDate="0" containsString="0" containsBlank="1"/>
    </cacheField>
  </cacheFields>
  <extLst>
    <ext xmlns:x14="http://schemas.microsoft.com/office/spreadsheetml/2009/9/main" uri="{725AE2AE-9491-48be-B2B4-4EB974FC3084}">
      <x14:pivotCacheDefinition pivotCacheId="9570506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m/>
    <x v="0"/>
    <m/>
    <m/>
    <x v="0"/>
    <x v="0"/>
    <n v="0"/>
    <n v="0"/>
    <n v="0"/>
    <n v="0"/>
    <n v="0"/>
    <n v="0"/>
    <n v="0"/>
    <n v="0"/>
    <n v="0"/>
    <n v="0"/>
    <n v="0"/>
    <n v="0"/>
    <n v="0"/>
    <n v="0"/>
    <n v="0"/>
    <n v="0"/>
    <n v="0"/>
    <n v="0"/>
    <n v="0"/>
    <n v="0"/>
    <n v="0"/>
    <n v="0"/>
    <n v="0"/>
    <n v="0"/>
    <n v="0"/>
    <m/>
  </r>
  <r>
    <m/>
    <x v="1"/>
    <m/>
    <m/>
    <x v="0"/>
    <x v="0"/>
    <n v="0"/>
    <n v="0"/>
    <n v="0"/>
    <n v="0"/>
    <n v="0"/>
    <n v="0"/>
    <n v="0"/>
    <n v="0"/>
    <n v="0"/>
    <n v="0"/>
    <n v="0"/>
    <n v="0"/>
    <n v="0"/>
    <n v="0"/>
    <n v="0"/>
    <n v="0"/>
    <n v="0"/>
    <n v="0"/>
    <n v="0"/>
    <n v="0"/>
    <n v="0"/>
    <n v="0"/>
    <n v="0"/>
    <n v="0"/>
    <n v="0"/>
    <m/>
  </r>
  <r>
    <m/>
    <x v="2"/>
    <m/>
    <m/>
    <x v="0"/>
    <x v="0"/>
    <n v="0"/>
    <n v="0"/>
    <n v="0"/>
    <n v="0"/>
    <n v="0"/>
    <n v="0"/>
    <n v="0"/>
    <n v="0"/>
    <n v="0"/>
    <n v="0"/>
    <n v="0"/>
    <n v="0"/>
    <n v="0"/>
    <n v="0"/>
    <n v="0"/>
    <n v="0"/>
    <n v="0"/>
    <n v="0"/>
    <n v="0"/>
    <n v="0"/>
    <n v="0"/>
    <n v="0"/>
    <n v="0"/>
    <n v="0"/>
    <n v="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E61731-6C31-400D-B992-5CE3D855CE93}" name="ptSlicerHost"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 firstHeaderRow="1" firstDataRow="1" firstDataCol="1"/>
  <pivotFields count="32">
    <pivotField showAll="0"/>
    <pivotField numFmtId="165" showAll="0"/>
    <pivotField showAll="0"/>
    <pivotField showAll="0"/>
    <pivotField axis="axisRow" showAll="0">
      <items count="2">
        <item x="0"/>
        <item t="default"/>
      </items>
    </pivotField>
    <pivotField showAll="0">
      <items count="2">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2">
    <i>
      <x/>
    </i>
    <i t="grand">
      <x/>
    </i>
  </rowItems>
  <colItems count="1">
    <i/>
  </colItems>
  <dataFields count="1">
    <dataField name="Sum of How many helped"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B6C28F-8548-4152-94D7-8A15AAFBDB44}" name="ptWeekly"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0:D15" firstHeaderRow="1" firstDataRow="2" firstDataCol="1"/>
  <pivotFields count="32">
    <pivotField compact="0" outline="0" showAll="0"/>
    <pivotField axis="axisRow" compact="0" numFmtId="165" outline="0" showAll="0">
      <items count="4">
        <item x="0"/>
        <item x="1"/>
        <item x="2"/>
        <item t="default"/>
      </items>
    </pivotField>
    <pivotField compact="0" outline="0" showAll="0"/>
    <pivotField compact="0" outline="0" showAll="0"/>
    <pivotField axis="axisCol" compact="0" outline="0" showAll="0">
      <items count="2">
        <item x="0"/>
        <item t="default"/>
      </items>
    </pivotField>
    <pivotField compact="0" outline="0" showAll="0">
      <items count="2">
        <item x="0"/>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4">
    <i>
      <x/>
    </i>
    <i>
      <x v="1"/>
    </i>
    <i>
      <x v="2"/>
    </i>
    <i t="grand">
      <x/>
    </i>
  </rowItems>
  <colFields count="1">
    <field x="4"/>
  </colFields>
  <colItems count="2">
    <i>
      <x/>
    </i>
    <i t="grand">
      <x/>
    </i>
  </colItems>
  <dataFields count="1">
    <dataField name="Sum of How many helped" fld="6"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8538331-B5E7-462A-980F-5AB765A45B8D}" name="ptMonthly"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0:D15" firstHeaderRow="1" firstDataRow="2" firstDataCol="1"/>
  <pivotFields count="32">
    <pivotField compact="0" outline="0" showAll="0"/>
    <pivotField axis="axisRow" compact="0" numFmtId="165" outline="0" showAll="0">
      <items count="4">
        <item x="0"/>
        <item x="1"/>
        <item x="2"/>
        <item t="default"/>
      </items>
    </pivotField>
    <pivotField compact="0" outline="0" showAll="0"/>
    <pivotField compact="0" outline="0" showAll="0"/>
    <pivotField axis="axisCol" compact="0" outline="0" showAll="0">
      <items count="2">
        <item x="0"/>
        <item t="default"/>
      </items>
    </pivotField>
    <pivotField compact="0" outline="0" showAll="0">
      <items count="2">
        <item x="0"/>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4">
    <i>
      <x/>
    </i>
    <i>
      <x v="1"/>
    </i>
    <i>
      <x v="2"/>
    </i>
    <i t="grand">
      <x/>
    </i>
  </rowItems>
  <colFields count="1">
    <field x="4"/>
  </colFields>
  <colItems count="2">
    <i>
      <x/>
    </i>
    <i t="grand">
      <x/>
    </i>
  </colItems>
  <dataFields count="1">
    <dataField name="Sum of How many helped" fld="6"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us" xr10:uid="{5AEAF3E2-EDDB-427F-BDDB-6080CB58758A}" sourceName="Campus">
  <pivotTables>
    <pivotTable tabId="8" name="ptSlicerHost"/>
    <pivotTable tabId="5" name="ptWeekly"/>
    <pivotTable tabId="6" name="ptMonthly"/>
  </pivotTables>
  <data>
    <tabular pivotCacheId="957050663">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_block" xr10:uid="{3300AB7B-718B-4B90-B037-CAD538603E9B}" sourceName="Time block">
  <pivotTables>
    <pivotTable tabId="8" name="ptSlicerHost"/>
    <pivotTable tabId="5" name="ptWeekly"/>
    <pivotTable tabId="6" name="ptMonthly"/>
  </pivotTables>
  <data>
    <tabular pivotCacheId="957050663">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ampus" xr10:uid="{3A380E5C-F819-4667-ABB9-0A574B9EBA8F}" cache="Slicer_Campus" caption="Campus" rowHeight="241300"/>
  <slicer name="slTime" xr10:uid="{5FE0DFE4-072D-457D-B865-EEB8597989B3}" cache="Slicer_Time_block" caption="Time bloc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Visitor" displayName="tblVisitor" ref="A1:AF4">
  <autoFilter ref="A1:AF4" xr:uid="{00000000-0009-0000-0100-000001000000}"/>
  <tableColumns count="32">
    <tableColumn id="1" xr3:uid="{00000000-0010-0000-0000-000001000000}" name="Submission ID"/>
    <tableColumn id="2" xr3:uid="{00000000-0010-0000-0000-000002000000}" name="Submitted at"/>
    <tableColumn id="3" xr3:uid="{00000000-0010-0000-0000-000003000000}" name="Name"/>
    <tableColumn id="4" xr3:uid="{00000000-0010-0000-0000-000004000000}" name="Email"/>
    <tableColumn id="5" xr3:uid="{00000000-0010-0000-0000-000005000000}" name="Campus"/>
    <tableColumn id="6" xr3:uid="{00000000-0010-0000-0000-000006000000}" name="Time block"/>
    <tableColumn id="7" xr3:uid="{00000000-0010-0000-0000-000007000000}" name="How many helped"/>
    <tableColumn id="8" xr3:uid="{00000000-0010-0000-0000-000008000000}" name="Wayfinding – General"/>
    <tableColumn id="9" xr3:uid="{00000000-0010-0000-0000-000009000000}" name="OneCard"/>
    <tableColumn id="10" xr3:uid="{00000000-0010-0000-0000-00000A000000}" name="IT Support"/>
    <tableColumn id="11" xr3:uid="{00000000-0010-0000-0000-00000B000000}" name="Bus Pass / Transportation"/>
    <tableColumn id="12" xr3:uid="{00000000-0010-0000-0000-00000C000000}" name="Parking"/>
    <tableColumn id="13" xr3:uid="{00000000-0010-0000-0000-00000D000000}" name="Timetable / Registration Concern"/>
    <tableColumn id="14" xr3:uid="{00000000-0010-0000-0000-00000E000000}" name="Student Fees / Student Financial Services"/>
    <tableColumn id="15" xr3:uid="{00000000-0010-0000-0000-00000F000000}" name="Learning Services / Math Help / Tutors"/>
    <tableColumn id="16" xr3:uid="{00000000-0010-0000-0000-000010000000}" name="Want to Change Program"/>
    <tableColumn id="17" xr3:uid="{00000000-0010-0000-0000-000011000000}" name="Connect with Faculty / Program Coordinator / Chair"/>
    <tableColumn id="18" xr3:uid="{00000000-0010-0000-0000-000012000000}" name="Health Insurance"/>
    <tableColumn id="19" xr3:uid="{00000000-0010-0000-0000-000013000000}" name="Mental Health Support / Counselling"/>
    <tableColumn id="20" xr3:uid="{00000000-0010-0000-0000-000014000000}" name="Medical Clinic / Medical Care"/>
    <tableColumn id="21" xr3:uid="{00000000-0010-0000-0000-000015000000}" name="Housing / Accommodation"/>
    <tableColumn id="22" xr3:uid="{00000000-0010-0000-0000-000016000000}" name="Job Search / Career Services"/>
    <tableColumn id="23" xr3:uid="{00000000-0010-0000-0000-000017000000}" name="Immigration / International Student Advising Referral"/>
    <tableColumn id="24" xr3:uid="{00000000-0010-0000-0000-000018000000}" name="International Transition Services"/>
    <tableColumn id="25" xr3:uid="{00000000-0010-0000-0000-000019000000}" name="International Admissions – Second Program"/>
    <tableColumn id="26" xr3:uid="{00000000-0010-0000-0000-00001A000000}" name="Library – Tech Loans / TeachMeTech"/>
    <tableColumn id="27" xr3:uid="{00000000-0010-0000-0000-00001B000000}" name="Library – Research / Writing Consultants"/>
    <tableColumn id="28" xr3:uid="{00000000-0010-0000-0000-00001C000000}" name="Library – Academic Integrity"/>
    <tableColumn id="29" xr3:uid="{00000000-0010-0000-0000-00001D000000}" name="CSI – Frosh Kits"/>
    <tableColumn id="30" xr3:uid="{00000000-0010-0000-0000-00001E000000}" name="CSI – Peer Advocates"/>
    <tableColumn id="31" xr3:uid="{00000000-0010-0000-0000-00001F000000}" name="Others"/>
    <tableColumn id="32" xr3:uid="{00000000-0010-0000-0000-000020000000}" name="Others (Inqui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Outreach" displayName="tblOutreach" ref="A1:J4">
  <autoFilter ref="A1:J4" xr:uid="{00000000-0009-0000-0100-000002000000}"/>
  <tableColumns count="10">
    <tableColumn id="1" xr3:uid="{00000000-0010-0000-0100-000001000000}" name="Submission ID"/>
    <tableColumn id="2" xr3:uid="{00000000-0010-0000-0100-000002000000}" name="Submitted at"/>
    <tableColumn id="3" xr3:uid="{00000000-0010-0000-0100-000003000000}" name="Name"/>
    <tableColumn id="4" xr3:uid="{00000000-0010-0000-0100-000004000000}" name="Email"/>
    <tableColumn id="5" xr3:uid="{00000000-0010-0000-0100-000005000000}" name="Campus"/>
    <tableColumn id="6" xr3:uid="{00000000-0010-0000-0100-000006000000}" name="Date of activity"/>
    <tableColumn id="7" xr3:uid="{00000000-0010-0000-0100-000007000000}" name="How many helped"/>
    <tableColumn id="8" xr3:uid="{00000000-0010-0000-0100-000008000000}" name="Outreach Activity"/>
    <tableColumn id="9" xr3:uid="{00000000-0010-0000-0100-000009000000}" name="Other activity (text)"/>
    <tableColumn id="10" xr3:uid="{00000000-0010-0000-0100-00000A00000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67E2B-495C-4DAA-8D78-B8E06795968E}">
  <dimension ref="A1:B3"/>
  <sheetViews>
    <sheetView workbookViewId="0"/>
  </sheetViews>
  <sheetFormatPr defaultRowHeight="14.25" x14ac:dyDescent="0.45"/>
  <cols>
    <col min="1" max="1" width="12.06640625" bestFit="1" customWidth="1"/>
    <col min="2" max="2" width="22" bestFit="1" customWidth="1"/>
  </cols>
  <sheetData>
    <row r="1" spans="1:2" x14ac:dyDescent="0.45">
      <c r="A1" s="24" t="s">
        <v>112</v>
      </c>
      <c r="B1" t="s">
        <v>115</v>
      </c>
    </row>
    <row r="2" spans="1:2" x14ac:dyDescent="0.45">
      <c r="A2" s="25" t="s">
        <v>113</v>
      </c>
      <c r="B2" s="26">
        <v>0</v>
      </c>
    </row>
    <row r="3" spans="1:2" x14ac:dyDescent="0.45">
      <c r="A3" s="25" t="s">
        <v>114</v>
      </c>
      <c r="B3" s="26">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35"/>
  <sheetViews>
    <sheetView showGridLines="0" tabSelected="1" workbookViewId="0"/>
  </sheetViews>
  <sheetFormatPr defaultRowHeight="14.25" x14ac:dyDescent="0.45"/>
  <cols>
    <col min="1" max="1" width="4" customWidth="1"/>
    <col min="2" max="2" width="100" customWidth="1"/>
  </cols>
  <sheetData>
    <row r="1" spans="2:2" ht="32" customHeight="1" x14ac:dyDescent="0.45">
      <c r="B1" s="1" t="s">
        <v>0</v>
      </c>
    </row>
    <row r="2" spans="2:2" x14ac:dyDescent="0.45">
      <c r="B2" s="2"/>
    </row>
    <row r="3" spans="2:2" ht="52.05" customHeight="1" x14ac:dyDescent="0.45">
      <c r="B3" s="3" t="s">
        <v>1</v>
      </c>
    </row>
    <row r="4" spans="2:2" x14ac:dyDescent="0.45">
      <c r="B4" s="2"/>
    </row>
    <row r="5" spans="2:2" ht="22.05" customHeight="1" x14ac:dyDescent="0.45">
      <c r="B5" s="4" t="s">
        <v>2</v>
      </c>
    </row>
    <row r="6" spans="2:2" ht="40.049999999999997" customHeight="1" x14ac:dyDescent="0.45">
      <c r="B6" s="3" t="s">
        <v>3</v>
      </c>
    </row>
    <row r="7" spans="2:2" ht="28.05" customHeight="1" x14ac:dyDescent="0.45">
      <c r="B7" s="3" t="s">
        <v>4</v>
      </c>
    </row>
    <row r="8" spans="2:2" ht="20" customHeight="1" x14ac:dyDescent="0.45">
      <c r="B8" s="3" t="s">
        <v>5</v>
      </c>
    </row>
    <row r="9" spans="2:2" ht="28.05" customHeight="1" x14ac:dyDescent="0.45">
      <c r="B9" s="3" t="s">
        <v>6</v>
      </c>
    </row>
    <row r="10" spans="2:2" x14ac:dyDescent="0.45">
      <c r="B10" s="2"/>
    </row>
    <row r="11" spans="2:2" ht="22.05" customHeight="1" x14ac:dyDescent="0.45">
      <c r="B11" s="4" t="s">
        <v>7</v>
      </c>
    </row>
    <row r="12" spans="2:2" ht="40.049999999999997" customHeight="1" x14ac:dyDescent="0.45">
      <c r="B12" s="3" t="s">
        <v>8</v>
      </c>
    </row>
    <row r="13" spans="2:2" ht="52.05" customHeight="1" x14ac:dyDescent="0.45">
      <c r="B13" s="3" t="s">
        <v>9</v>
      </c>
    </row>
    <row r="14" spans="2:2" ht="20" customHeight="1" x14ac:dyDescent="0.45">
      <c r="B14" s="3" t="s">
        <v>10</v>
      </c>
    </row>
    <row r="15" spans="2:2" ht="28.05" customHeight="1" x14ac:dyDescent="0.45">
      <c r="B15" s="3" t="s">
        <v>11</v>
      </c>
    </row>
    <row r="16" spans="2:2" ht="20" customHeight="1" x14ac:dyDescent="0.45">
      <c r="B16" s="3" t="s">
        <v>12</v>
      </c>
    </row>
    <row r="17" spans="2:2" x14ac:dyDescent="0.45">
      <c r="B17" s="2"/>
    </row>
    <row r="18" spans="2:2" ht="22.05" customHeight="1" x14ac:dyDescent="0.45">
      <c r="B18" s="4" t="s">
        <v>13</v>
      </c>
    </row>
    <row r="19" spans="2:2" ht="52.05" customHeight="1" x14ac:dyDescent="0.45">
      <c r="B19" s="3" t="s">
        <v>14</v>
      </c>
    </row>
    <row r="20" spans="2:2" ht="40.049999999999997" customHeight="1" x14ac:dyDescent="0.45">
      <c r="B20" s="3" t="s">
        <v>15</v>
      </c>
    </row>
    <row r="21" spans="2:2" ht="28.05" customHeight="1" x14ac:dyDescent="0.45">
      <c r="B21" s="3" t="s">
        <v>16</v>
      </c>
    </row>
    <row r="22" spans="2:2" x14ac:dyDescent="0.45">
      <c r="B22" s="2"/>
    </row>
    <row r="23" spans="2:2" ht="22.05" customHeight="1" x14ac:dyDescent="0.45">
      <c r="B23" s="4" t="s">
        <v>17</v>
      </c>
    </row>
    <row r="24" spans="2:2" ht="20" customHeight="1" x14ac:dyDescent="0.45">
      <c r="B24" s="3" t="s">
        <v>18</v>
      </c>
    </row>
    <row r="25" spans="2:2" ht="20" customHeight="1" x14ac:dyDescent="0.45">
      <c r="B25" s="3" t="s">
        <v>19</v>
      </c>
    </row>
    <row r="26" spans="2:2" x14ac:dyDescent="0.45">
      <c r="B26" s="2"/>
    </row>
    <row r="27" spans="2:2" ht="22.05" customHeight="1" x14ac:dyDescent="0.45">
      <c r="B27" s="4" t="s">
        <v>20</v>
      </c>
    </row>
    <row r="28" spans="2:2" ht="40.049999999999997" customHeight="1" x14ac:dyDescent="0.45">
      <c r="B28" s="3" t="s">
        <v>21</v>
      </c>
    </row>
    <row r="29" spans="2:2" ht="28.05" customHeight="1" x14ac:dyDescent="0.45">
      <c r="B29" s="3" t="s">
        <v>22</v>
      </c>
    </row>
    <row r="30" spans="2:2" ht="40.049999999999997" customHeight="1" x14ac:dyDescent="0.45">
      <c r="B30" s="3" t="s">
        <v>23</v>
      </c>
    </row>
    <row r="31" spans="2:2" x14ac:dyDescent="0.45">
      <c r="B31" s="2"/>
    </row>
    <row r="32" spans="2:2" ht="22.05" customHeight="1" x14ac:dyDescent="0.45">
      <c r="B32" s="4" t="s">
        <v>24</v>
      </c>
    </row>
    <row r="33" spans="2:2" ht="40.049999999999997" customHeight="1" x14ac:dyDescent="0.45">
      <c r="B33" s="3" t="s">
        <v>25</v>
      </c>
    </row>
    <row r="34" spans="2:2" ht="40.049999999999997" customHeight="1" x14ac:dyDescent="0.45">
      <c r="B34" s="3" t="s">
        <v>26</v>
      </c>
    </row>
    <row r="35" spans="2:2" ht="28.05" customHeight="1" x14ac:dyDescent="0.45">
      <c r="B35" s="3" t="s">
        <v>27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64"/>
  <sheetViews>
    <sheetView showGridLines="0" workbookViewId="0"/>
  </sheetViews>
  <sheetFormatPr defaultRowHeight="14.25" x14ac:dyDescent="0.45"/>
  <cols>
    <col min="1" max="12" width="16" customWidth="1"/>
  </cols>
  <sheetData>
    <row r="1" spans="1:12" ht="32" customHeight="1" x14ac:dyDescent="0.75">
      <c r="A1" s="20" t="s">
        <v>28</v>
      </c>
      <c r="B1" s="15"/>
      <c r="C1" s="15"/>
      <c r="D1" s="15"/>
      <c r="E1" s="15"/>
      <c r="F1" s="15"/>
      <c r="G1" s="15"/>
      <c r="H1" s="15"/>
    </row>
    <row r="2" spans="1:12" ht="18" customHeight="1" x14ac:dyDescent="0.45">
      <c r="A2" s="16" t="s">
        <v>29</v>
      </c>
      <c r="B2" s="15"/>
      <c r="C2" s="15"/>
      <c r="D2" s="15"/>
      <c r="E2" s="15"/>
      <c r="F2" s="15"/>
      <c r="G2" s="15"/>
      <c r="H2" s="15"/>
    </row>
    <row r="3" spans="1:12" ht="22.05" customHeight="1" x14ac:dyDescent="0.45">
      <c r="A3" s="17" t="s">
        <v>30</v>
      </c>
      <c r="B3" s="15"/>
      <c r="C3" s="15"/>
      <c r="D3" s="15"/>
      <c r="E3" s="15"/>
      <c r="F3" s="15"/>
      <c r="G3" s="15"/>
      <c r="H3" s="15"/>
    </row>
    <row r="4" spans="1:12" ht="16.05" customHeight="1" x14ac:dyDescent="0.45">
      <c r="A4" s="18" t="s">
        <v>31</v>
      </c>
      <c r="B4" s="19"/>
      <c r="C4" s="19"/>
      <c r="D4" s="18" t="s">
        <v>32</v>
      </c>
      <c r="E4" s="19"/>
      <c r="F4" s="19"/>
      <c r="G4" s="18" t="s">
        <v>33</v>
      </c>
      <c r="H4" s="19"/>
      <c r="I4" s="19"/>
      <c r="J4" s="18" t="s">
        <v>34</v>
      </c>
      <c r="K4" s="19"/>
      <c r="L4" s="19"/>
    </row>
    <row r="5" spans="1:12" ht="30" customHeight="1" x14ac:dyDescent="0.45">
      <c r="A5" s="21">
        <f>IFERROR(SUM(tblVisitor[How many helped]),0)</f>
        <v>0</v>
      </c>
      <c r="B5" s="15"/>
      <c r="C5" s="15"/>
      <c r="D5" s="21">
        <f>IFERROR(SUM(tblVisitor[Wayfinding – General]),0)+IFERROR(SUM(tblVisitor[OneCard]),0)+IFERROR(SUM(tblVisitor[IT Support]),0)+IFERROR(SUM(tblVisitor[Bus Pass / Transportation]),0)+IFERROR(SUM(tblVisitor[Parking]),0)+IFERROR(SUM(tblVisitor[Timetable / Registration Concern]),0)+IFERROR(SUM(tblVisitor[Student Fees / Student Financial Services]),0)+IFERROR(SUM(tblVisitor[Learning Services / Math Help / Tutors]),0)+IFERROR(SUM(tblVisitor[Want to Change Program]),0)+IFERROR(SUM(tblVisitor[Connect with Faculty / Program Coordinator / Chair]),0)+IFERROR(SUM(tblVisitor[Health Insurance]),0)+IFERROR(SUM(tblVisitor[Mental Health Support / Counselling]),0)+IFERROR(SUM(tblVisitor[Medical Clinic / Medical Care]),0)+IFERROR(SUM(tblVisitor[Housing / Accommodation]),0)+IFERROR(SUM(tblVisitor[Job Search / Career Services]),0)+IFERROR(SUM(tblVisitor[Immigration / International Student Advising Referral]),0)+IFERROR(SUM(tblVisitor[International Transition Services]),0)+IFERROR(SUM(tblVisitor[International Admissions – Second Program]),0)+IFERROR(SUM(tblVisitor[Library – Tech Loans / TeachMeTech]),0)+IFERROR(SUM(tblVisitor[Library – Research / Writing Consultants]),0)+IFERROR(SUM(tblVisitor[Library – Academic Integrity]),0)+IFERROR(SUM(tblVisitor[CSI – Frosh Kits]),0)+IFERROR(SUM(tblVisitor[CSI – Peer Advocates]),0)+IFERROR(SUM(tblVisitor[Others]),0)</f>
        <v>0</v>
      </c>
      <c r="E5" s="15"/>
      <c r="F5" s="15"/>
      <c r="G5" s="21" t="str">
        <f>IFERROR(INDEX(_Helpers!A4:A7,MATCH(MAX(_Helpers!B4:B7),_Helpers!B4:B7,0)),"—")</f>
        <v>Waterloo</v>
      </c>
      <c r="H5" s="15"/>
      <c r="I5" s="15"/>
      <c r="J5" s="21">
        <f>IFERROR(SUM(tblOutreach[How many helped]),0)</f>
        <v>0</v>
      </c>
      <c r="K5" s="15"/>
      <c r="L5" s="15"/>
    </row>
    <row r="6" spans="1:12" ht="16.05" customHeight="1" x14ac:dyDescent="0.45">
      <c r="A6" s="14" t="str">
        <f>IF(ROWS(tblVisitor[Submission ID])=0,"No data yet",ROWS(tblVisitor[Submission ID])&amp;" submissions")</f>
        <v>3 submissions</v>
      </c>
      <c r="B6" s="15"/>
      <c r="C6" s="15"/>
      <c r="D6" s="14" t="s">
        <v>35</v>
      </c>
      <c r="E6" s="15"/>
      <c r="F6" s="15"/>
      <c r="G6" s="14" t="str">
        <f>IFERROR(MAX(_Helpers!B4:B7)&amp;" people helped","No data")</f>
        <v>0 people helped</v>
      </c>
      <c r="H6" s="15"/>
      <c r="I6" s="15"/>
      <c r="J6" s="14" t="str">
        <f>IFERROR(ROWS(tblOutreach[Submission ID])&amp;" outreach entries","")</f>
        <v>3 outreach entries</v>
      </c>
      <c r="K6" s="15"/>
      <c r="L6" s="15"/>
    </row>
    <row r="7" spans="1:12" ht="22.05" customHeight="1" x14ac:dyDescent="0.45">
      <c r="A7" s="17" t="s">
        <v>36</v>
      </c>
      <c r="B7" s="15"/>
      <c r="C7" s="15"/>
      <c r="D7" s="15"/>
      <c r="E7" s="15"/>
      <c r="F7" s="15"/>
      <c r="G7" s="15"/>
      <c r="H7" s="15"/>
    </row>
    <row r="8" spans="1:12" x14ac:dyDescent="0.45">
      <c r="A8" s="5" t="s">
        <v>37</v>
      </c>
      <c r="B8" s="5" t="s">
        <v>38</v>
      </c>
      <c r="C8" s="5" t="s">
        <v>39</v>
      </c>
      <c r="D8" s="5" t="s">
        <v>40</v>
      </c>
    </row>
    <row r="9" spans="1:12" ht="28.05" customHeight="1" x14ac:dyDescent="0.45">
      <c r="A9" s="6" t="s">
        <v>41</v>
      </c>
      <c r="B9" s="7">
        <f>IFERROR(SUMIFS(tblVisitor[How many helped],tblVisitor[Campus],"Waterloo",tblVisitor[Time block],"Morning (open – 12pm)"),0)</f>
        <v>0</v>
      </c>
      <c r="C9" s="7">
        <f>IFERROR(SUMIFS(tblVisitor[How many helped],tblVisitor[Campus],"Waterloo",tblVisitor[Time block],"Afternoon (12 – 4pm)"),0)</f>
        <v>0</v>
      </c>
      <c r="D9" s="7">
        <f>IFERROR(SUMIFS(tblVisitor[How many helped],tblVisitor[Campus],"Waterloo",tblVisitor[Time block],"Evening (4pm – close)"),0)</f>
        <v>0</v>
      </c>
    </row>
    <row r="10" spans="1:12" ht="28.05" customHeight="1" x14ac:dyDescent="0.45">
      <c r="A10" s="6" t="s">
        <v>42</v>
      </c>
      <c r="B10" s="7">
        <f>IFERROR(SUMIFS(tblVisitor[How many helped],tblVisitor[Campus],"Doon",tblVisitor[Time block],"Morning (open – 12pm)"),0)</f>
        <v>0</v>
      </c>
      <c r="C10" s="7">
        <f>IFERROR(SUMIFS(tblVisitor[How many helped],tblVisitor[Campus],"Doon",tblVisitor[Time block],"Afternoon (12 – 4pm)"),0)</f>
        <v>0</v>
      </c>
      <c r="D10" s="7">
        <f>IFERROR(SUMIFS(tblVisitor[How many helped],tblVisitor[Campus],"Doon",tblVisitor[Time block],"Evening (4pm – close)"),0)</f>
        <v>0</v>
      </c>
    </row>
    <row r="11" spans="1:12" ht="28.05" customHeight="1" x14ac:dyDescent="0.45">
      <c r="A11" s="6" t="s">
        <v>43</v>
      </c>
      <c r="B11" s="7">
        <f>IFERROR(SUMIFS(tblVisitor[How many helped],tblVisitor[Campus],"Reuter",tblVisitor[Time block],"Morning (open – 12pm)"),0)</f>
        <v>0</v>
      </c>
      <c r="C11" s="7">
        <f>IFERROR(SUMIFS(tblVisitor[How many helped],tblVisitor[Campus],"Reuter",tblVisitor[Time block],"Afternoon (12 – 4pm)"),0)</f>
        <v>0</v>
      </c>
      <c r="D11" s="7">
        <f>IFERROR(SUMIFS(tblVisitor[How many helped],tblVisitor[Campus],"Reuter",tblVisitor[Time block],"Evening (4pm – close)"),0)</f>
        <v>0</v>
      </c>
    </row>
    <row r="12" spans="1:12" ht="28.05" customHeight="1" x14ac:dyDescent="0.45">
      <c r="A12" s="6" t="s">
        <v>44</v>
      </c>
      <c r="B12" s="7">
        <f>IFERROR(SUMIFS(tblVisitor[How many helped],tblVisitor[Campus],"Cambridge",tblVisitor[Time block],"Morning (open – 12pm)"),0)</f>
        <v>0</v>
      </c>
      <c r="C12" s="7">
        <f>IFERROR(SUMIFS(tblVisitor[How many helped],tblVisitor[Campus],"Cambridge",tblVisitor[Time block],"Afternoon (12 – 4pm)"),0)</f>
        <v>0</v>
      </c>
      <c r="D12" s="7">
        <f>IFERROR(SUMIFS(tblVisitor[How many helped],tblVisitor[Campus],"Cambridge",tblVisitor[Time block],"Evening (4pm – close)"),0)</f>
        <v>0</v>
      </c>
    </row>
    <row r="14" spans="1:12" ht="22.05" customHeight="1" x14ac:dyDescent="0.45">
      <c r="A14" s="17" t="s">
        <v>45</v>
      </c>
      <c r="B14" s="15"/>
      <c r="C14" s="15"/>
      <c r="D14" s="15"/>
      <c r="E14" s="15"/>
      <c r="F14" s="15"/>
      <c r="G14" s="15"/>
      <c r="H14" s="15"/>
    </row>
    <row r="15" spans="1:12" x14ac:dyDescent="0.45">
      <c r="A15" s="16" t="s">
        <v>46</v>
      </c>
      <c r="B15" s="15"/>
      <c r="C15" s="15"/>
      <c r="D15" s="15"/>
      <c r="E15" s="15"/>
      <c r="F15" s="15"/>
      <c r="G15" s="15"/>
      <c r="H15" s="15"/>
    </row>
    <row r="31" spans="1:8" ht="22.05" customHeight="1" x14ac:dyDescent="0.45">
      <c r="A31" s="17" t="s">
        <v>47</v>
      </c>
      <c r="B31" s="15"/>
      <c r="C31" s="15"/>
      <c r="D31" s="15"/>
      <c r="E31" s="15"/>
      <c r="F31" s="15"/>
      <c r="G31" s="15"/>
      <c r="H31" s="15"/>
    </row>
    <row r="47" spans="1:8" ht="22.05" customHeight="1" x14ac:dyDescent="0.45">
      <c r="A47" s="17" t="s">
        <v>48</v>
      </c>
      <c r="B47" s="15"/>
      <c r="C47" s="15"/>
      <c r="D47" s="15"/>
      <c r="E47" s="15"/>
      <c r="F47" s="15"/>
      <c r="G47" s="15"/>
      <c r="H47" s="15"/>
    </row>
    <row r="60" spans="1:8" ht="22.05" customHeight="1" x14ac:dyDescent="0.45">
      <c r="A60" s="17" t="s">
        <v>49</v>
      </c>
      <c r="B60" s="15"/>
      <c r="C60" s="15"/>
      <c r="D60" s="15"/>
      <c r="E60" s="15"/>
      <c r="F60" s="15"/>
      <c r="G60" s="15"/>
      <c r="H60" s="15"/>
    </row>
    <row r="61" spans="1:8" x14ac:dyDescent="0.45">
      <c r="A61" s="8" t="s">
        <v>50</v>
      </c>
    </row>
    <row r="62" spans="1:8" ht="60" customHeight="1" x14ac:dyDescent="0.45">
      <c r="A62" s="22" t="s">
        <v>51</v>
      </c>
      <c r="B62" s="15"/>
      <c r="C62" s="15"/>
      <c r="D62" s="15"/>
      <c r="E62" s="15"/>
      <c r="F62" s="15"/>
      <c r="G62" s="15"/>
      <c r="H62" s="15"/>
    </row>
    <row r="63" spans="1:8" x14ac:dyDescent="0.45">
      <c r="A63" s="15"/>
      <c r="B63" s="15"/>
      <c r="C63" s="15"/>
      <c r="D63" s="15"/>
      <c r="E63" s="15"/>
      <c r="F63" s="15"/>
      <c r="G63" s="15"/>
      <c r="H63" s="15"/>
    </row>
    <row r="64" spans="1:8" x14ac:dyDescent="0.45">
      <c r="A64" s="15"/>
      <c r="B64" s="15"/>
      <c r="C64" s="15"/>
      <c r="D64" s="15"/>
      <c r="E64" s="15"/>
      <c r="F64" s="15"/>
      <c r="G64" s="15"/>
      <c r="H64" s="15"/>
    </row>
  </sheetData>
  <mergeCells count="22">
    <mergeCell ref="A62:H64"/>
    <mergeCell ref="D6:F6"/>
    <mergeCell ref="A31:H31"/>
    <mergeCell ref="A1:H1"/>
    <mergeCell ref="A5:C5"/>
    <mergeCell ref="G5:I5"/>
    <mergeCell ref="A7:H7"/>
    <mergeCell ref="D4:F4"/>
    <mergeCell ref="G4:I4"/>
    <mergeCell ref="A4:C4"/>
    <mergeCell ref="A3:H3"/>
    <mergeCell ref="D5:F5"/>
    <mergeCell ref="A2:H2"/>
    <mergeCell ref="A6:C6"/>
    <mergeCell ref="J6:L6"/>
    <mergeCell ref="A15:H15"/>
    <mergeCell ref="G6:I6"/>
    <mergeCell ref="A60:H60"/>
    <mergeCell ref="J4:L4"/>
    <mergeCell ref="A14:H14"/>
    <mergeCell ref="A47:H47"/>
    <mergeCell ref="J5:L5"/>
  </mergeCells>
  <conditionalFormatting sqref="B9:D12">
    <cfRule type="colorScale" priority="1">
      <colorScale>
        <cfvo type="num" val="0"/>
        <cfvo type="percentile" val="50"/>
        <cfvo type="max"/>
        <color rgb="FFFFFFFF"/>
        <color rgb="FF5CBAB1"/>
        <color rgb="FF036C70"/>
      </colorScale>
    </cfRule>
  </conditionalFormatting>
  <pageMargins left="0.75" right="0.75" top="1" bottom="1" header="0.5" footer="0.5"/>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4"/>
  <sheetViews>
    <sheetView workbookViewId="0">
      <pane ySplit="1" topLeftCell="A2" activePane="bottomLeft" state="frozen"/>
      <selection pane="bottomLeft"/>
    </sheetView>
  </sheetViews>
  <sheetFormatPr defaultRowHeight="14.25" x14ac:dyDescent="0.45"/>
  <cols>
    <col min="1" max="1" width="17" customWidth="1"/>
    <col min="2" max="2" width="16" customWidth="1"/>
    <col min="3" max="6" width="14" customWidth="1"/>
    <col min="7" max="7" width="19" customWidth="1"/>
    <col min="8" max="8" width="24" customWidth="1"/>
    <col min="9" max="10" width="14" customWidth="1"/>
    <col min="11" max="11" width="29" customWidth="1"/>
    <col min="12" max="12" width="14" customWidth="1"/>
    <col min="13" max="13" width="36" customWidth="1"/>
    <col min="14" max="14" width="45" customWidth="1"/>
    <col min="15" max="15" width="42" customWidth="1"/>
    <col min="16" max="16" width="26" customWidth="1"/>
    <col min="17" max="17" width="50" customWidth="1"/>
    <col min="18" max="18" width="20" customWidth="1"/>
    <col min="19" max="19" width="39" customWidth="1"/>
    <col min="20" max="20" width="33" customWidth="1"/>
    <col min="21" max="21" width="27" customWidth="1"/>
    <col min="22" max="22" width="32" customWidth="1"/>
    <col min="23" max="23" width="50" customWidth="1"/>
    <col min="24" max="24" width="37" customWidth="1"/>
    <col min="25" max="25" width="45" customWidth="1"/>
    <col min="26" max="26" width="38" customWidth="1"/>
    <col min="27" max="27" width="44" customWidth="1"/>
    <col min="28" max="28" width="32" customWidth="1"/>
    <col min="29" max="29" width="20" customWidth="1"/>
    <col min="30" max="30" width="24" customWidth="1"/>
    <col min="31" max="31" width="14" customWidth="1"/>
    <col min="32" max="32" width="20" customWidth="1"/>
  </cols>
  <sheetData>
    <row r="1" spans="1:32" ht="28.05" customHeight="1" x14ac:dyDescent="0.45">
      <c r="A1" s="9" t="s">
        <v>52</v>
      </c>
      <c r="B1" s="9" t="s">
        <v>53</v>
      </c>
      <c r="C1" s="9" t="s">
        <v>54</v>
      </c>
      <c r="D1" s="9" t="s">
        <v>55</v>
      </c>
      <c r="E1" s="9" t="s">
        <v>37</v>
      </c>
      <c r="F1" s="9" t="s">
        <v>56</v>
      </c>
      <c r="G1" s="9" t="s">
        <v>57</v>
      </c>
      <c r="H1" s="9" t="s">
        <v>58</v>
      </c>
      <c r="I1" s="9" t="s">
        <v>59</v>
      </c>
      <c r="J1" s="9" t="s">
        <v>60</v>
      </c>
      <c r="K1" s="9" t="s">
        <v>61</v>
      </c>
      <c r="L1" s="9" t="s">
        <v>62</v>
      </c>
      <c r="M1" s="9" t="s">
        <v>63</v>
      </c>
      <c r="N1" s="9" t="s">
        <v>64</v>
      </c>
      <c r="O1" s="9" t="s">
        <v>65</v>
      </c>
      <c r="P1" s="9" t="s">
        <v>66</v>
      </c>
      <c r="Q1" s="9" t="s">
        <v>67</v>
      </c>
      <c r="R1" s="9" t="s">
        <v>68</v>
      </c>
      <c r="S1" s="9" t="s">
        <v>69</v>
      </c>
      <c r="T1" s="9" t="s">
        <v>70</v>
      </c>
      <c r="U1" s="9" t="s">
        <v>71</v>
      </c>
      <c r="V1" s="9" t="s">
        <v>72</v>
      </c>
      <c r="W1" s="9" t="s">
        <v>73</v>
      </c>
      <c r="X1" s="9" t="s">
        <v>74</v>
      </c>
      <c r="Y1" s="9" t="s">
        <v>75</v>
      </c>
      <c r="Z1" s="9" t="s">
        <v>76</v>
      </c>
      <c r="AA1" s="9" t="s">
        <v>77</v>
      </c>
      <c r="AB1" s="9" t="s">
        <v>78</v>
      </c>
      <c r="AC1" s="9" t="s">
        <v>79</v>
      </c>
      <c r="AD1" s="9" t="s">
        <v>80</v>
      </c>
      <c r="AE1" s="9" t="s">
        <v>81</v>
      </c>
      <c r="AF1" s="9" t="s">
        <v>82</v>
      </c>
    </row>
    <row r="2" spans="1:32" x14ac:dyDescent="0.45">
      <c r="B2" s="10">
        <v>45292</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2" x14ac:dyDescent="0.45">
      <c r="B3" s="10">
        <v>45458</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2" x14ac:dyDescent="0.45">
      <c r="B4" s="10">
        <v>45657</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4"/>
  <sheetViews>
    <sheetView workbookViewId="0">
      <pane ySplit="1" topLeftCell="A2" activePane="bottomLeft" state="frozen"/>
      <selection pane="bottomLeft"/>
    </sheetView>
  </sheetViews>
  <sheetFormatPr defaultRowHeight="14.25" x14ac:dyDescent="0.45"/>
  <cols>
    <col min="1" max="1" width="17" customWidth="1"/>
    <col min="2" max="2" width="16" customWidth="1"/>
    <col min="3" max="5" width="14" customWidth="1"/>
    <col min="6" max="6" width="20" customWidth="1"/>
    <col min="7" max="7" width="19" customWidth="1"/>
    <col min="8" max="8" width="21" customWidth="1"/>
    <col min="9" max="9" width="25" customWidth="1"/>
    <col min="10" max="10" width="14" customWidth="1"/>
  </cols>
  <sheetData>
    <row r="1" spans="1:10" ht="28.05" customHeight="1" x14ac:dyDescent="0.45">
      <c r="A1" s="9" t="s">
        <v>52</v>
      </c>
      <c r="B1" s="9" t="s">
        <v>53</v>
      </c>
      <c r="C1" s="9" t="s">
        <v>54</v>
      </c>
      <c r="D1" s="9" t="s">
        <v>55</v>
      </c>
      <c r="E1" s="9" t="s">
        <v>37</v>
      </c>
      <c r="F1" s="9" t="s">
        <v>83</v>
      </c>
      <c r="G1" s="9" t="s">
        <v>57</v>
      </c>
      <c r="H1" s="9" t="s">
        <v>84</v>
      </c>
      <c r="I1" s="9" t="s">
        <v>85</v>
      </c>
      <c r="J1" s="9" t="s">
        <v>86</v>
      </c>
    </row>
    <row r="2" spans="1:10" x14ac:dyDescent="0.45">
      <c r="B2" s="10">
        <v>45292</v>
      </c>
      <c r="F2" s="11">
        <v>45292</v>
      </c>
      <c r="G2">
        <v>0</v>
      </c>
    </row>
    <row r="3" spans="1:10" x14ac:dyDescent="0.45">
      <c r="B3" s="10">
        <v>45458</v>
      </c>
      <c r="F3" s="11">
        <v>45458</v>
      </c>
      <c r="G3">
        <v>0</v>
      </c>
    </row>
    <row r="4" spans="1:10" x14ac:dyDescent="0.45">
      <c r="B4" s="10">
        <v>45657</v>
      </c>
      <c r="F4" s="11">
        <v>45657</v>
      </c>
      <c r="G4">
        <v>0</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H15"/>
  <sheetViews>
    <sheetView showGridLines="0" workbookViewId="0"/>
  </sheetViews>
  <sheetFormatPr defaultRowHeight="14.25" x14ac:dyDescent="0.45"/>
  <cols>
    <col min="1" max="1" width="4" customWidth="1"/>
    <col min="2" max="2" width="22" bestFit="1" customWidth="1"/>
    <col min="3" max="3" width="9.3984375" bestFit="1" customWidth="1"/>
    <col min="4" max="4" width="10.19921875" bestFit="1" customWidth="1"/>
  </cols>
  <sheetData>
    <row r="1" spans="2:8" ht="30" customHeight="1" x14ac:dyDescent="0.7">
      <c r="B1" s="12" t="s">
        <v>87</v>
      </c>
    </row>
    <row r="3" spans="2:8" ht="90" customHeight="1" x14ac:dyDescent="0.45">
      <c r="B3" s="22" t="s">
        <v>88</v>
      </c>
      <c r="C3" s="15"/>
      <c r="D3" s="15"/>
      <c r="E3" s="15"/>
      <c r="F3" s="15"/>
      <c r="G3" s="15"/>
      <c r="H3" s="15"/>
    </row>
    <row r="4" spans="2:8" x14ac:dyDescent="0.45">
      <c r="B4" s="15"/>
      <c r="C4" s="15"/>
      <c r="D4" s="15"/>
      <c r="E4" s="15"/>
      <c r="F4" s="15"/>
      <c r="G4" s="15"/>
      <c r="H4" s="15"/>
    </row>
    <row r="5" spans="2:8" x14ac:dyDescent="0.45">
      <c r="B5" s="15"/>
      <c r="C5" s="15"/>
      <c r="D5" s="15"/>
      <c r="E5" s="15"/>
      <c r="F5" s="15"/>
      <c r="G5" s="15"/>
      <c r="H5" s="15"/>
    </row>
    <row r="6" spans="2:8" x14ac:dyDescent="0.45">
      <c r="B6" s="15"/>
      <c r="C6" s="15"/>
      <c r="D6" s="15"/>
      <c r="E6" s="15"/>
      <c r="F6" s="15"/>
      <c r="G6" s="15"/>
      <c r="H6" s="15"/>
    </row>
    <row r="7" spans="2:8" x14ac:dyDescent="0.45">
      <c r="B7" s="15"/>
      <c r="C7" s="15"/>
      <c r="D7" s="15"/>
      <c r="E7" s="15"/>
      <c r="F7" s="15"/>
      <c r="G7" s="15"/>
      <c r="H7" s="15"/>
    </row>
    <row r="8" spans="2:8" x14ac:dyDescent="0.45">
      <c r="B8" s="15"/>
      <c r="C8" s="15"/>
      <c r="D8" s="15"/>
      <c r="E8" s="15"/>
      <c r="F8" s="15"/>
      <c r="G8" s="15"/>
      <c r="H8" s="15"/>
    </row>
    <row r="10" spans="2:8" x14ac:dyDescent="0.45">
      <c r="B10" s="24" t="s">
        <v>115</v>
      </c>
      <c r="C10" s="24" t="s">
        <v>37</v>
      </c>
    </row>
    <row r="11" spans="2:8" x14ac:dyDescent="0.45">
      <c r="B11" s="24" t="s">
        <v>53</v>
      </c>
      <c r="C11" t="s">
        <v>113</v>
      </c>
      <c r="D11" t="s">
        <v>114</v>
      </c>
    </row>
    <row r="12" spans="2:8" x14ac:dyDescent="0.45">
      <c r="B12" s="10">
        <v>45292</v>
      </c>
      <c r="C12" s="27">
        <v>0</v>
      </c>
      <c r="D12" s="27">
        <v>0</v>
      </c>
    </row>
    <row r="13" spans="2:8" x14ac:dyDescent="0.45">
      <c r="B13" s="10">
        <v>45458</v>
      </c>
      <c r="C13" s="27">
        <v>0</v>
      </c>
      <c r="D13" s="27">
        <v>0</v>
      </c>
    </row>
    <row r="14" spans="2:8" x14ac:dyDescent="0.45">
      <c r="B14" s="10">
        <v>45657</v>
      </c>
      <c r="C14" s="27">
        <v>0</v>
      </c>
      <c r="D14" s="27">
        <v>0</v>
      </c>
    </row>
    <row r="15" spans="2:8" x14ac:dyDescent="0.45">
      <c r="B15" s="10" t="s">
        <v>114</v>
      </c>
      <c r="C15" s="27">
        <v>0</v>
      </c>
      <c r="D15" s="27">
        <v>0</v>
      </c>
    </row>
  </sheetData>
  <mergeCells count="1">
    <mergeCell ref="B3:H8"/>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H15"/>
  <sheetViews>
    <sheetView showGridLines="0" workbookViewId="0"/>
  </sheetViews>
  <sheetFormatPr defaultRowHeight="14.25" x14ac:dyDescent="0.45"/>
  <cols>
    <col min="1" max="1" width="4" customWidth="1"/>
    <col min="2" max="2" width="22" bestFit="1" customWidth="1"/>
    <col min="3" max="3" width="9.3984375" bestFit="1" customWidth="1"/>
    <col min="4" max="4" width="10.19921875" bestFit="1" customWidth="1"/>
  </cols>
  <sheetData>
    <row r="1" spans="2:8" ht="30" customHeight="1" x14ac:dyDescent="0.7">
      <c r="B1" s="12" t="s">
        <v>89</v>
      </c>
    </row>
    <row r="3" spans="2:8" ht="90" customHeight="1" x14ac:dyDescent="0.45">
      <c r="B3" s="22" t="s">
        <v>90</v>
      </c>
      <c r="C3" s="15"/>
      <c r="D3" s="15"/>
      <c r="E3" s="15"/>
      <c r="F3" s="15"/>
      <c r="G3" s="15"/>
      <c r="H3" s="15"/>
    </row>
    <row r="4" spans="2:8" x14ac:dyDescent="0.45">
      <c r="B4" s="15"/>
      <c r="C4" s="15"/>
      <c r="D4" s="15"/>
      <c r="E4" s="15"/>
      <c r="F4" s="15"/>
      <c r="G4" s="15"/>
      <c r="H4" s="15"/>
    </row>
    <row r="5" spans="2:8" x14ac:dyDescent="0.45">
      <c r="B5" s="15"/>
      <c r="C5" s="15"/>
      <c r="D5" s="15"/>
      <c r="E5" s="15"/>
      <c r="F5" s="15"/>
      <c r="G5" s="15"/>
      <c r="H5" s="15"/>
    </row>
    <row r="6" spans="2:8" x14ac:dyDescent="0.45">
      <c r="B6" s="15"/>
      <c r="C6" s="15"/>
      <c r="D6" s="15"/>
      <c r="E6" s="15"/>
      <c r="F6" s="15"/>
      <c r="G6" s="15"/>
      <c r="H6" s="15"/>
    </row>
    <row r="7" spans="2:8" x14ac:dyDescent="0.45">
      <c r="B7" s="15"/>
      <c r="C7" s="15"/>
      <c r="D7" s="15"/>
      <c r="E7" s="15"/>
      <c r="F7" s="15"/>
      <c r="G7" s="15"/>
      <c r="H7" s="15"/>
    </row>
    <row r="8" spans="2:8" x14ac:dyDescent="0.45">
      <c r="B8" s="15"/>
      <c r="C8" s="15"/>
      <c r="D8" s="15"/>
      <c r="E8" s="15"/>
      <c r="F8" s="15"/>
      <c r="G8" s="15"/>
      <c r="H8" s="15"/>
    </row>
    <row r="10" spans="2:8" x14ac:dyDescent="0.45">
      <c r="B10" s="24" t="s">
        <v>115</v>
      </c>
      <c r="C10" s="24" t="s">
        <v>37</v>
      </c>
    </row>
    <row r="11" spans="2:8" x14ac:dyDescent="0.45">
      <c r="B11" s="24" t="s">
        <v>53</v>
      </c>
      <c r="C11" t="s">
        <v>113</v>
      </c>
      <c r="D11" t="s">
        <v>114</v>
      </c>
    </row>
    <row r="12" spans="2:8" x14ac:dyDescent="0.45">
      <c r="B12" s="10">
        <v>45292</v>
      </c>
      <c r="C12" s="27">
        <v>0</v>
      </c>
      <c r="D12" s="27">
        <v>0</v>
      </c>
    </row>
    <row r="13" spans="2:8" x14ac:dyDescent="0.45">
      <c r="B13" s="10">
        <v>45458</v>
      </c>
      <c r="C13" s="27">
        <v>0</v>
      </c>
      <c r="D13" s="27">
        <v>0</v>
      </c>
    </row>
    <row r="14" spans="2:8" x14ac:dyDescent="0.45">
      <c r="B14" s="10">
        <v>45657</v>
      </c>
      <c r="C14" s="27">
        <v>0</v>
      </c>
      <c r="D14" s="27">
        <v>0</v>
      </c>
    </row>
    <row r="15" spans="2:8" x14ac:dyDescent="0.45">
      <c r="B15" s="10" t="s">
        <v>114</v>
      </c>
      <c r="C15" s="27">
        <v>0</v>
      </c>
      <c r="D15" s="27">
        <v>0</v>
      </c>
    </row>
  </sheetData>
  <mergeCells count="1">
    <mergeCell ref="B3:H8"/>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7"/>
  <sheetViews>
    <sheetView showGridLines="0" workbookViewId="0"/>
  </sheetViews>
  <sheetFormatPr defaultRowHeight="14.25" x14ac:dyDescent="0.45"/>
  <cols>
    <col min="1" max="1" width="36" customWidth="1"/>
    <col min="2" max="2" width="16" customWidth="1"/>
    <col min="4" max="4" width="36" customWidth="1"/>
    <col min="5" max="5" width="16" customWidth="1"/>
    <col min="7" max="7" width="36" customWidth="1"/>
    <col min="8" max="8" width="16" customWidth="1"/>
    <col min="10" max="10" width="36" customWidth="1"/>
    <col min="11" max="11" width="16" customWidth="1"/>
    <col min="13" max="13" width="36" customWidth="1"/>
    <col min="14" max="14" width="16" customWidth="1"/>
  </cols>
  <sheetData>
    <row r="1" spans="1:14" x14ac:dyDescent="0.45">
      <c r="A1" s="23" t="s">
        <v>91</v>
      </c>
      <c r="B1" s="15"/>
      <c r="D1" s="23" t="s">
        <v>92</v>
      </c>
      <c r="E1" s="15"/>
      <c r="G1" s="23" t="s">
        <v>93</v>
      </c>
      <c r="H1" s="15"/>
      <c r="J1" s="23" t="s">
        <v>94</v>
      </c>
      <c r="K1" s="15"/>
      <c r="M1" s="23" t="s">
        <v>95</v>
      </c>
      <c r="N1" s="15"/>
    </row>
    <row r="3" spans="1:14" x14ac:dyDescent="0.45">
      <c r="A3" s="13" t="s">
        <v>37</v>
      </c>
      <c r="B3" s="13" t="s">
        <v>96</v>
      </c>
      <c r="D3" s="13" t="s">
        <v>97</v>
      </c>
      <c r="E3" s="13" t="s">
        <v>96</v>
      </c>
      <c r="G3" s="13" t="s">
        <v>98</v>
      </c>
      <c r="H3" s="13" t="s">
        <v>99</v>
      </c>
      <c r="J3" s="13" t="s">
        <v>100</v>
      </c>
      <c r="K3" s="13" t="s">
        <v>96</v>
      </c>
      <c r="M3" s="13" t="s">
        <v>37</v>
      </c>
      <c r="N3" s="13" t="s">
        <v>96</v>
      </c>
    </row>
    <row r="4" spans="1:14" x14ac:dyDescent="0.45">
      <c r="A4" t="s">
        <v>41</v>
      </c>
      <c r="B4">
        <f>IFERROR(SUMIFS(tblVisitor[How many helped],tblVisitor[Campus],"Waterloo"),0)</f>
        <v>0</v>
      </c>
      <c r="D4" s="16" t="s">
        <v>101</v>
      </c>
      <c r="E4" s="15"/>
      <c r="G4" t="s">
        <v>58</v>
      </c>
      <c r="H4">
        <f>IFERROR(SUM(tblVisitor[Wayfinding – General]),0)</f>
        <v>0</v>
      </c>
      <c r="J4" t="s">
        <v>102</v>
      </c>
      <c r="K4">
        <f>IFERROR(SUMIFS(tblOutreach[How many helped],tblOutreach[Outreach Activity],"Bell Let's Talk"),0)</f>
        <v>0</v>
      </c>
      <c r="M4" t="s">
        <v>41</v>
      </c>
      <c r="N4">
        <f>IFERROR(SUMIFS(tblOutreach[How many helped],tblOutreach[Campus],"Waterloo"),0)</f>
        <v>0</v>
      </c>
    </row>
    <row r="5" spans="1:14" x14ac:dyDescent="0.45">
      <c r="A5" t="s">
        <v>42</v>
      </c>
      <c r="B5">
        <f>IFERROR(SUMIFS(tblVisitor[How many helped],tblVisitor[Campus],"Doon"),0)</f>
        <v>0</v>
      </c>
      <c r="D5" s="15"/>
      <c r="E5" s="15"/>
      <c r="G5" t="s">
        <v>59</v>
      </c>
      <c r="H5">
        <f>IFERROR(SUM(tblVisitor[OneCard]),0)</f>
        <v>0</v>
      </c>
      <c r="J5" t="s">
        <v>103</v>
      </c>
      <c r="K5">
        <f>IFERROR(SUMIFS(tblOutreach[How many helped],tblOutreach[Outreach Activity],"Black History Month"),0)</f>
        <v>0</v>
      </c>
      <c r="M5" t="s">
        <v>42</v>
      </c>
      <c r="N5">
        <f>IFERROR(SUMIFS(tblOutreach[How many helped],tblOutreach[Campus],"Doon"),0)</f>
        <v>0</v>
      </c>
    </row>
    <row r="6" spans="1:14" x14ac:dyDescent="0.45">
      <c r="A6" t="s">
        <v>43</v>
      </c>
      <c r="B6">
        <f>IFERROR(SUMIFS(tblVisitor[How many helped],tblVisitor[Campus],"Reuter"),0)</f>
        <v>0</v>
      </c>
      <c r="D6" s="15"/>
      <c r="E6" s="15"/>
      <c r="G6" t="s">
        <v>60</v>
      </c>
      <c r="H6">
        <f>IFERROR(SUM(tblVisitor[IT Support]),0)</f>
        <v>0</v>
      </c>
      <c r="J6" t="s">
        <v>104</v>
      </c>
      <c r="K6">
        <f>IFERROR(SUMIFS(tblOutreach[How many helped],tblOutreach[Outreach Activity],"Campus Welcome Day"),0)</f>
        <v>0</v>
      </c>
      <c r="M6" t="s">
        <v>43</v>
      </c>
      <c r="N6">
        <f>IFERROR(SUMIFS(tblOutreach[How many helped],tblOutreach[Campus],"Reuter"),0)</f>
        <v>0</v>
      </c>
    </row>
    <row r="7" spans="1:14" x14ac:dyDescent="0.45">
      <c r="A7" t="s">
        <v>44</v>
      </c>
      <c r="B7">
        <f>IFERROR(SUMIFS(tblVisitor[How many helped],tblVisitor[Campus],"Cambridge"),0)</f>
        <v>0</v>
      </c>
      <c r="D7" s="15"/>
      <c r="E7" s="15"/>
      <c r="G7" t="s">
        <v>61</v>
      </c>
      <c r="H7">
        <f>IFERROR(SUM(tblVisitor[Bus Pass / Transportation]),0)</f>
        <v>0</v>
      </c>
      <c r="J7" t="s">
        <v>105</v>
      </c>
      <c r="K7">
        <f>IFERROR(SUMIFS(tblOutreach[How many helped],tblOutreach[Outreach Activity],"CCR and SSP Promotion"),0)</f>
        <v>0</v>
      </c>
      <c r="M7" t="s">
        <v>44</v>
      </c>
      <c r="N7">
        <f>IFERROR(SUMIFS(tblOutreach[How many helped],tblOutreach[Campus],"Cambridge"),0)</f>
        <v>0</v>
      </c>
    </row>
    <row r="8" spans="1:14" x14ac:dyDescent="0.45">
      <c r="D8" s="15"/>
      <c r="E8" s="15"/>
      <c r="G8" t="s">
        <v>62</v>
      </c>
      <c r="H8">
        <f>IFERROR(SUM(tblVisitor[Parking]),0)</f>
        <v>0</v>
      </c>
      <c r="J8" t="s">
        <v>106</v>
      </c>
      <c r="K8">
        <f>IFERROR(SUMIFS(tblOutreach[How many helped],tblOutreach[Outreach Activity],"Celebrating Diversity"),0)</f>
        <v>0</v>
      </c>
    </row>
    <row r="9" spans="1:14" x14ac:dyDescent="0.45">
      <c r="D9" s="15"/>
      <c r="E9" s="15"/>
      <c r="G9" t="s">
        <v>63</v>
      </c>
      <c r="H9">
        <f>IFERROR(SUM(tblVisitor[Timetable / Registration Concern]),0)</f>
        <v>0</v>
      </c>
      <c r="J9" t="s">
        <v>107</v>
      </c>
      <c r="K9">
        <f>IFERROR(SUMIFS(tblOutreach[How many helped],tblOutreach[Outreach Activity],"Health and Wellness Outreach"),0)</f>
        <v>0</v>
      </c>
    </row>
    <row r="10" spans="1:14" x14ac:dyDescent="0.45">
      <c r="D10" s="15"/>
      <c r="E10" s="15"/>
      <c r="G10" t="s">
        <v>64</v>
      </c>
      <c r="H10">
        <f>IFERROR(SUM(tblVisitor[Student Fees / Student Financial Services]),0)</f>
        <v>0</v>
      </c>
      <c r="J10" t="s">
        <v>108</v>
      </c>
      <c r="K10">
        <f>IFERROR(SUMIFS(tblOutreach[How many helped],tblOutreach[Outreach Activity],"International Women's Day"),0)</f>
        <v>0</v>
      </c>
    </row>
    <row r="11" spans="1:14" x14ac:dyDescent="0.45">
      <c r="G11" t="s">
        <v>65</v>
      </c>
      <c r="H11">
        <f>IFERROR(SUM(tblVisitor[Learning Services / Math Help / Tutors]),0)</f>
        <v>0</v>
      </c>
      <c r="J11" t="s">
        <v>109</v>
      </c>
      <c r="K11">
        <f>IFERROR(SUMIFS(tblOutreach[How many helped],tblOutreach[Outreach Activity],"Pride Month"),0)</f>
        <v>0</v>
      </c>
    </row>
    <row r="12" spans="1:14" x14ac:dyDescent="0.45">
      <c r="G12" t="s">
        <v>66</v>
      </c>
      <c r="H12">
        <f>IFERROR(SUM(tblVisitor[Want to Change Program]),0)</f>
        <v>0</v>
      </c>
      <c r="J12" t="s">
        <v>110</v>
      </c>
      <c r="K12">
        <f>IFERROR(SUMIFS(tblOutreach[How many helped],tblOutreach[Outreach Activity],"Sexual Health Week"),0)</f>
        <v>0</v>
      </c>
    </row>
    <row r="13" spans="1:14" x14ac:dyDescent="0.45">
      <c r="G13" t="s">
        <v>67</v>
      </c>
      <c r="H13">
        <f>IFERROR(SUM(tblVisitor[Connect with Faculty / Program Coordinator / Chair]),0)</f>
        <v>0</v>
      </c>
      <c r="J13" t="s">
        <v>111</v>
      </c>
      <c r="K13">
        <f>IFERROR(SUMIFS(tblOutreach[How many helped],tblOutreach[Outreach Activity],"Other"),0)</f>
        <v>0</v>
      </c>
    </row>
    <row r="14" spans="1:14" x14ac:dyDescent="0.45">
      <c r="G14" t="s">
        <v>68</v>
      </c>
      <c r="H14">
        <f>IFERROR(SUM(tblVisitor[Health Insurance]),0)</f>
        <v>0</v>
      </c>
    </row>
    <row r="15" spans="1:14" x14ac:dyDescent="0.45">
      <c r="G15" t="s">
        <v>69</v>
      </c>
      <c r="H15">
        <f>IFERROR(SUM(tblVisitor[Mental Health Support / Counselling]),0)</f>
        <v>0</v>
      </c>
    </row>
    <row r="16" spans="1:14" x14ac:dyDescent="0.45">
      <c r="G16" t="s">
        <v>70</v>
      </c>
      <c r="H16">
        <f>IFERROR(SUM(tblVisitor[Medical Clinic / Medical Care]),0)</f>
        <v>0</v>
      </c>
    </row>
    <row r="17" spans="7:8" x14ac:dyDescent="0.45">
      <c r="G17" t="s">
        <v>71</v>
      </c>
      <c r="H17">
        <f>IFERROR(SUM(tblVisitor[Housing / Accommodation]),0)</f>
        <v>0</v>
      </c>
    </row>
    <row r="18" spans="7:8" x14ac:dyDescent="0.45">
      <c r="G18" t="s">
        <v>72</v>
      </c>
      <c r="H18">
        <f>IFERROR(SUM(tblVisitor[Job Search / Career Services]),0)</f>
        <v>0</v>
      </c>
    </row>
    <row r="19" spans="7:8" x14ac:dyDescent="0.45">
      <c r="G19" t="s">
        <v>73</v>
      </c>
      <c r="H19">
        <f>IFERROR(SUM(tblVisitor[Immigration / International Student Advising Referral]),0)</f>
        <v>0</v>
      </c>
    </row>
    <row r="20" spans="7:8" x14ac:dyDescent="0.45">
      <c r="G20" t="s">
        <v>74</v>
      </c>
      <c r="H20">
        <f>IFERROR(SUM(tblVisitor[International Transition Services]),0)</f>
        <v>0</v>
      </c>
    </row>
    <row r="21" spans="7:8" x14ac:dyDescent="0.45">
      <c r="G21" t="s">
        <v>75</v>
      </c>
      <c r="H21">
        <f>IFERROR(SUM(tblVisitor[International Admissions – Second Program]),0)</f>
        <v>0</v>
      </c>
    </row>
    <row r="22" spans="7:8" x14ac:dyDescent="0.45">
      <c r="G22" t="s">
        <v>76</v>
      </c>
      <c r="H22">
        <f>IFERROR(SUM(tblVisitor[Library – Tech Loans / TeachMeTech]),0)</f>
        <v>0</v>
      </c>
    </row>
    <row r="23" spans="7:8" x14ac:dyDescent="0.45">
      <c r="G23" t="s">
        <v>77</v>
      </c>
      <c r="H23">
        <f>IFERROR(SUM(tblVisitor[Library – Research / Writing Consultants]),0)</f>
        <v>0</v>
      </c>
    </row>
    <row r="24" spans="7:8" x14ac:dyDescent="0.45">
      <c r="G24" t="s">
        <v>78</v>
      </c>
      <c r="H24">
        <f>IFERROR(SUM(tblVisitor[Library – Academic Integrity]),0)</f>
        <v>0</v>
      </c>
    </row>
    <row r="25" spans="7:8" x14ac:dyDescent="0.45">
      <c r="G25" t="s">
        <v>79</v>
      </c>
      <c r="H25">
        <f>IFERROR(SUM(tblVisitor[CSI – Frosh Kits]),0)</f>
        <v>0</v>
      </c>
    </row>
    <row r="26" spans="7:8" x14ac:dyDescent="0.45">
      <c r="G26" t="s">
        <v>80</v>
      </c>
      <c r="H26">
        <f>IFERROR(SUM(tblVisitor[CSI – Peer Advocates]),0)</f>
        <v>0</v>
      </c>
    </row>
    <row r="27" spans="7:8" x14ac:dyDescent="0.45">
      <c r="G27" t="s">
        <v>81</v>
      </c>
      <c r="H27">
        <f>IFERROR(SUM(tblVisitor[Others]),0)</f>
        <v>0</v>
      </c>
    </row>
  </sheetData>
  <mergeCells count="6">
    <mergeCell ref="M1:N1"/>
    <mergeCell ref="D4:E10"/>
    <mergeCell ref="D1:E1"/>
    <mergeCell ref="G1:H1"/>
    <mergeCell ref="J1:K1"/>
    <mergeCell ref="A1:B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 to use</vt:lpstr>
      <vt:lpstr>Dashboard</vt:lpstr>
      <vt:lpstr>Visitor</vt:lpstr>
      <vt:lpstr>Outreach</vt:lpstr>
      <vt:lpstr>Reports — Weekly</vt:lpstr>
      <vt:lpstr>Reports — Monthly</vt:lpstr>
      <vt:lpstr>_Helpers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Gabriel Gabrie Kattan</cp:lastModifiedBy>
  <dcterms:created xsi:type="dcterms:W3CDTF">2026-05-05T21:18:10Z</dcterms:created>
  <dcterms:modified xsi:type="dcterms:W3CDTF">2026-05-05T21:18:14Z</dcterms:modified>
</cp:coreProperties>
</file>